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5490\Downloads\"/>
    </mc:Choice>
  </mc:AlternateContent>
  <xr:revisionPtr revIDLastSave="0" documentId="13_ncr:1_{44D2F80D-1E24-4520-A969-5D5FAD26BBCF}" xr6:coauthVersionLast="47" xr6:coauthVersionMax="47" xr10:uidLastSave="{00000000-0000-0000-0000-000000000000}"/>
  <bookViews>
    <workbookView xWindow="-120" yWindow="-120" windowWidth="20730" windowHeight="11040" activeTab="1"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 l="1"/>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G8" i="2"/>
  <c r="G7" i="2"/>
  <c r="G6" i="2"/>
  <c r="G5" i="2"/>
  <c r="G4" i="2"/>
  <c r="G9" i="2" l="1"/>
</calcChain>
</file>

<file path=xl/sharedStrings.xml><?xml version="1.0" encoding="utf-8"?>
<sst xmlns="http://schemas.openxmlformats.org/spreadsheetml/2006/main" count="870" uniqueCount="446">
  <si>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</si>
  <si>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</si>
  <si>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</si>
  <si>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</si>
  <si>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</si>
  <si>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</si>
  <si>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</si>
  <si>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</si>
  <si>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</si>
  <si>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</si>
  <si>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</si>
  <si>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</si>
  <si>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</si>
  <si>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</si>
  <si>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</si>
  <si>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</si>
  <si>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</si>
  <si>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</si>
  <si>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</si>
  <si>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</si>
  <si>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</si>
  <si>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</si>
  <si>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</si>
  <si>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</si>
  <si>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</si>
  <si>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</si>
  <si>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</si>
  <si>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</si>
  <si>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</si>
  <si>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</si>
  <si>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</si>
  <si>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</si>
  <si>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</si>
  <si>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</si>
  <si>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</si>
  <si>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</si>
  <si>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</si>
  <si>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</si>
  <si>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</si>
  <si>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</si>
  <si>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</si>
  <si>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</si>
  <si>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</si>
  <si>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</si>
  <si>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</si>
  <si>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</si>
  <si>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</si>
  <si>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</si>
  <si>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</si>
  <si>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</si>
  <si>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</si>
  <si>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</si>
  <si>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</si>
  <si>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</si>
  <si>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</si>
  <si>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</si>
  <si>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</si>
  <si>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</si>
  <si>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</si>
  <si>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Contribution Summary</t>
  </si>
  <si>
    <t>Main achievement</t>
  </si>
  <si>
    <t>Contribution entries</t>
  </si>
  <si>
    <t>Main challenge</t>
  </si>
  <si>
    <t>Verified entries</t>
  </si>
  <si>
    <t>Next planned activity</t>
  </si>
  <si>
    <t>Unverified entries</t>
  </si>
  <si>
    <t>Stakeholder engagements</t>
  </si>
  <si>
    <t>Task Progress Tracker</t>
  </si>
  <si>
    <t>Task ID</t>
  </si>
  <si>
    <t>Reporting Phase</t>
  </si>
  <si>
    <t>Activity</t>
  </si>
  <si>
    <t>Task Description</t>
  </si>
  <si>
    <t>Start Date</t>
  </si>
  <si>
    <t>Due Date</t>
  </si>
  <si>
    <t>Status</t>
  </si>
  <si>
    <t>% Complete</t>
  </si>
  <si>
    <t>Evidence / Link</t>
  </si>
  <si>
    <t>Verified by Group</t>
  </si>
  <si>
    <t>Lecturer Comment</t>
  </si>
  <si>
    <t>Progress Flag</t>
  </si>
  <si>
    <t>U1-01</t>
  </si>
  <si>
    <t>Activity 1.1</t>
  </si>
  <si>
    <t>Identify and confirm the external stakeholder</t>
  </si>
  <si>
    <t>U1-02</t>
  </si>
  <si>
    <t>Document the current process and problem</t>
  </si>
  <si>
    <t>U1-03</t>
  </si>
  <si>
    <t>Define the project aim, objectives and scope</t>
  </si>
  <si>
    <t>U1-04</t>
  </si>
  <si>
    <t>Activity 1.2</t>
  </si>
  <si>
    <t>Prepare stakeholder interview questions</t>
  </si>
  <si>
    <t>U1-05</t>
  </si>
  <si>
    <t>Conduct and document the stakeholder interview</t>
  </si>
  <si>
    <t>U1-06</t>
  </si>
  <si>
    <t>Activity 1.3</t>
  </si>
  <si>
    <t>Compile the initial SRS</t>
  </si>
  <si>
    <t>U1-07</t>
  </si>
  <si>
    <t>Create the initial Microsoft Project schedule</t>
  </si>
  <si>
    <t>U1-08</t>
  </si>
  <si>
    <t>Create and configure the GitHub repository</t>
  </si>
  <si>
    <t>U1-09</t>
  </si>
  <si>
    <t>Create the initial Supabase project</t>
  </si>
  <si>
    <t>U1-10</t>
  </si>
  <si>
    <t>Complete the progress report and contribution record</t>
  </si>
  <si>
    <t>U1-11</t>
  </si>
  <si>
    <t>Complete the Unit 1 group reflection</t>
  </si>
  <si>
    <t>Individual Contribution Record</t>
  </si>
  <si>
    <t>Student Name</t>
  </si>
  <si>
    <t>Student Number</t>
  </si>
  <si>
    <t>Assigned Responsibility</t>
  </si>
  <si>
    <t>Work Personally Completed</t>
  </si>
  <si>
    <t>Date Completed</t>
  </si>
  <si>
    <t>Hours Spent</t>
  </si>
  <si>
    <t>Verification Date</t>
  </si>
  <si>
    <t>Notes</t>
  </si>
  <si>
    <t>Stakeholder Engagement Record</t>
  </si>
  <si>
    <t>Date</t>
  </si>
  <si>
    <t>Type of Engagement</t>
  </si>
  <si>
    <t>Students Present</t>
  </si>
  <si>
    <t>Stakeholder Present / Role</t>
  </si>
  <si>
    <t>Main Findings</t>
  </si>
  <si>
    <t>Action Required</t>
  </si>
  <si>
    <t>Challenges and Corrective Actions</t>
  </si>
  <si>
    <t>Date Identified</t>
  </si>
  <si>
    <t>Challenge</t>
  </si>
  <si>
    <t>Effect on Progress</t>
  </si>
  <si>
    <t>Corrective Action</t>
  </si>
  <si>
    <t>Responsible Student</t>
  </si>
  <si>
    <t>Target Date</t>
  </si>
  <si>
    <t>Phase Progress Summary</t>
  </si>
  <si>
    <t>Summary Information</t>
  </si>
  <si>
    <t>Phase Completion Checklist</t>
  </si>
  <si>
    <t>Initial or updated SRS completed</t>
  </si>
  <si>
    <t>Progress report updated</t>
  </si>
  <si>
    <t>Overall phase status</t>
  </si>
  <si>
    <t>Individual contributions recorded</t>
  </si>
  <si>
    <t>What was completed during this phase?</t>
  </si>
  <si>
    <t>Stakeholder engagement recorded</t>
  </si>
  <si>
    <t>What remains incomplete?</t>
  </si>
  <si>
    <t>Challenges and actions updated</t>
  </si>
  <si>
    <t>Why is it incomplete?</t>
  </si>
  <si>
    <t>Group reflection completed</t>
  </si>
  <si>
    <t>Which contributions were particularly important?</t>
  </si>
  <si>
    <t>Microsoft Project updated</t>
  </si>
  <si>
    <t>Were there participation concerns?</t>
  </si>
  <si>
    <t>GitHub evidence available</t>
  </si>
  <si>
    <t>What will the group improve in the next phase?</t>
  </si>
  <si>
    <t>Confidential peer check completed</t>
  </si>
  <si>
    <t>Main priority for the next phase</t>
  </si>
  <si>
    <t>Reflection Information</t>
  </si>
  <si>
    <t>Reflection Guidance</t>
  </si>
  <si>
    <t>Length</t>
  </si>
  <si>
    <t>Approximately 300–400 words in total.</t>
  </si>
  <si>
    <t>Focus</t>
  </si>
  <si>
    <t>Discuss the group’s actual experience, not the activity instructions.</t>
  </si>
  <si>
    <t>Most important learning from this phase</t>
  </si>
  <si>
    <t>Honesty</t>
  </si>
  <si>
    <t>Identifying a genuine challenge will not disadvantage the group when an improvement action is provided.</t>
  </si>
  <si>
    <t>What went well and why?</t>
  </si>
  <si>
    <t>Evidence</t>
  </si>
  <si>
    <t>Ensure that claims about participation agree with the contribution record, Microsoft Project and GitHub.</t>
  </si>
  <si>
    <t>What was difficult and why?</t>
  </si>
  <si>
    <t>Research use</t>
  </si>
  <si>
    <t>Student work may only be used for research after the required ethical approval and consent processes.</t>
  </si>
  <si>
    <t>How were tasks divided among members?</t>
  </si>
  <si>
    <t>Did all members contribute fairly? Explain.</t>
  </si>
  <si>
    <t>How did the group handle disagreements or delays?</t>
  </si>
  <si>
    <t>What did the group learn from the stakeholder?</t>
  </si>
  <si>
    <t>Improvement action 1 for the next phase</t>
  </si>
  <si>
    <t>Improvement action 2 for the next phase</t>
  </si>
  <si>
    <t>Priority for the next phase</t>
  </si>
  <si>
    <t>Assigned Student(s)</t>
  </si>
  <si>
    <t>Framework Fanatics</t>
  </si>
  <si>
    <t>Cutting Edge Salon Management &amp; Booking System</t>
  </si>
  <si>
    <t>Cuttin Edge Salon</t>
  </si>
  <si>
    <t>Goitsoene Kgwele</t>
  </si>
  <si>
    <t>2026-08-10 to 2026-08-31</t>
  </si>
  <si>
    <t>Successfully completed Units 1 and 2 of the project. Developed the complete Initial Software Requirements Specification (SRS) with 19 functional requirements, conducted a comprehensive feasibility study covering all 6 areas (Technical, Operational, Economic, Schedule, Legal, and Ethical), created a project risk register with 10 project-specific risks, and incorporated lecturer-advised enhancements including payment method selection (FR-18) and customer cancellation (FR-08). All group members have practical experience in Flutter, ASP.NET, and Supabase, with 4 members enrolled in the GenAI course for advanced Supabase training.</t>
  </si>
  <si>
    <t xml:space="preserve">	Coordinating schedules for the in-person stakeholder interview and translating subjective requirements (e.g., "Luxury" feel) into measurable non-functional requirements. Additionally, incorporating lecturer feedback (payment method and cancellation) required updating the SRS, database schema, and process flows. Managing the scope of 19 functional requirements while ensuring timely completion of all Unit 2 deliverables. One group member not enrolled in the GenAI course, though learnings will be shared across the group.</t>
  </si>
  <si>
    <t>U2-01</t>
  </si>
  <si>
    <t>U2-02</t>
  </si>
  <si>
    <t>U2-03</t>
  </si>
  <si>
    <t>U2-04</t>
  </si>
  <si>
    <t>U2-05</t>
  </si>
  <si>
    <t>U2-06</t>
  </si>
  <si>
    <t>U2-07</t>
  </si>
  <si>
    <t>U2-08</t>
  </si>
  <si>
    <t>U2-09</t>
  </si>
  <si>
    <t>Unit 2 / Phase 1</t>
  </si>
  <si>
    <t>Activity 2.1</t>
  </si>
  <si>
    <t>Evaluate technical feasibility</t>
  </si>
  <si>
    <t>U2-10</t>
  </si>
  <si>
    <t>U2-11</t>
  </si>
  <si>
    <t>U2-12</t>
  </si>
  <si>
    <t>U2-13</t>
  </si>
  <si>
    <t>U2-14</t>
  </si>
  <si>
    <t>U2-15</t>
  </si>
  <si>
    <t>U2-16</t>
  </si>
  <si>
    <t>U2-17</t>
  </si>
  <si>
    <t>U2-18</t>
  </si>
  <si>
    <t>U2-19</t>
  </si>
  <si>
    <t>U2-20</t>
  </si>
  <si>
    <t>U2-21</t>
  </si>
  <si>
    <t>U2-22</t>
  </si>
  <si>
    <t>U2-23</t>
  </si>
  <si>
    <t>U2-24</t>
  </si>
  <si>
    <t>Activity 2.2</t>
  </si>
  <si>
    <t>Activity 2.3</t>
  </si>
  <si>
    <t>Complete overall feasibility conclusion</t>
  </si>
  <si>
    <t>Identify project risks (8-12 risks)</t>
  </si>
  <si>
    <t>Identify mitigation and contingency actions</t>
  </si>
  <si>
    <t>Assign  risk owners</t>
  </si>
  <si>
    <t>Identify three highest risks</t>
  </si>
  <si>
    <t>Review feasibility and risk findings</t>
  </si>
  <si>
    <t xml:space="preserve">Refine project scope </t>
  </si>
  <si>
    <t xml:space="preserve">Update functional requirement </t>
  </si>
  <si>
    <t>Create requirement change log</t>
  </si>
  <si>
    <t>update database schema</t>
  </si>
  <si>
    <t>update SRS with Unit 2 work</t>
  </si>
  <si>
    <t>Update Microsoft Project schedule</t>
  </si>
  <si>
    <t>Update GitHub repository</t>
  </si>
  <si>
    <t xml:space="preserve">Update Project Progress Tracker </t>
  </si>
  <si>
    <t>Confirm important changes with stakeholder</t>
  </si>
  <si>
    <t>Complete Phase 1 group reflection</t>
  </si>
  <si>
    <t>Powerpoint presentation</t>
  </si>
  <si>
    <t>Evaluate operational feasibility</t>
  </si>
  <si>
    <t>Evaluate economic feasibility</t>
  </si>
  <si>
    <t>Evaluate schedule feasibility</t>
  </si>
  <si>
    <t>Evaluate legal feasibility</t>
  </si>
  <si>
    <t>Evaluate ethical feasibility</t>
  </si>
  <si>
    <t>Thabang Zitha</t>
  </si>
  <si>
    <t>Goitsoene Kgwele , Thabang Zitha</t>
  </si>
  <si>
    <t>All members</t>
  </si>
  <si>
    <t>Yamkela Mazamane</t>
  </si>
  <si>
    <t>Nyakallo Pali</t>
  </si>
  <si>
    <t>Bennet Linda</t>
  </si>
  <si>
    <t>Goitseone kgwele</t>
  </si>
  <si>
    <t>Goitseoene Kgwele</t>
  </si>
  <si>
    <t>Yes</t>
  </si>
  <si>
    <t>Phase 1 PowerPoint Presentation</t>
  </si>
  <si>
    <t>Rate likehood and impact of risks</t>
  </si>
  <si>
    <t>Interview notes and photos</t>
  </si>
  <si>
    <t>SRS -Section 9: Current Process and Diagram</t>
  </si>
  <si>
    <t xml:space="preserve">SRS Section 4: Purpose, Aim and Objectives, Section 5: Project Scope </t>
  </si>
  <si>
    <t>Interview Questions and Responses</t>
  </si>
  <si>
    <t>initial SRS document submitted</t>
  </si>
  <si>
    <t>Microsoft Project .mpp file</t>
  </si>
  <si>
    <t>https://github.com/Yamkela47/Group-B-.git</t>
  </si>
  <si>
    <t>Supabase Project Setup Screenshot</t>
  </si>
  <si>
    <t>Project progress tracker</t>
  </si>
  <si>
    <t>Phase 1 group reflection</t>
  </si>
  <si>
    <t>Unit 2 documentation</t>
  </si>
  <si>
    <t>Risk Register with likehood and impact ratings</t>
  </si>
  <si>
    <t>Risk Register with mitigation and contigency</t>
  </si>
  <si>
    <t>Risk register with owners and status</t>
  </si>
  <si>
    <t>Risk register- Three highest Risk identified</t>
  </si>
  <si>
    <t>Functional Required SRS</t>
  </si>
  <si>
    <t>Updated database schema with payment method, cancelled at and cancellation reason</t>
  </si>
  <si>
    <t>Finalised SRS</t>
  </si>
  <si>
    <t>Meeting notes to be recorded</t>
  </si>
  <si>
    <t>25/08/2026</t>
  </si>
  <si>
    <t>Yamkela Mazamani</t>
  </si>
  <si>
    <t>25/08/2036</t>
  </si>
  <si>
    <t>Stakeholder identification and confirmation</t>
  </si>
  <si>
    <t>Stakeholder interview preparation and conduct</t>
  </si>
  <si>
    <t>SRS coordination</t>
  </si>
  <si>
    <t>Ethical feasibility evaluation</t>
  </si>
  <si>
    <t>Additional</t>
  </si>
  <si>
    <t>GenAI course participation</t>
  </si>
  <si>
    <t>Phase 1 group reflection coordination</t>
  </si>
  <si>
    <t>Risk register oversight</t>
  </si>
  <si>
    <t>Identified and confirmed Cutting Edge Salon as the external stakeholder. Arranged and coordinated the initial stakeholder meeting.</t>
  </si>
  <si>
    <t>Prepared interview questions. Led the stakeholder interview session. Documented key findings and requirements.</t>
  </si>
  <si>
    <t>Coordinated the compilation of the initial SRS document. Ensured all 17 sections were completed. Integrated team contributions.</t>
  </si>
  <si>
    <t>Evaluated ethical feasibility. Assessed stakeholder informed consent, data collection necessity, and customer empowerment features.</t>
  </si>
  <si>
    <t>Oversaw the creation of the risk register. Prepared risk register format. Reviewed all 10 risks for completeness.</t>
  </si>
  <si>
    <t>Coordinated and documented the Phase 1 group reflection. Compiled responses from all members.</t>
  </si>
  <si>
    <t>Actively participated in the GenAI course conducted by Ms Lonergan for Supabase and ASP.NET skill enhancement.</t>
  </si>
  <si>
    <t>Ongoing</t>
  </si>
  <si>
    <t>SRS - Stakeholders and User Groups, Interview photos</t>
  </si>
  <si>
    <t>Interview Questions and Responses, Photos</t>
  </si>
  <si>
    <t>Initial SRS Document</t>
  </si>
  <si>
    <t xml:space="preserve">Unit 2 documentation </t>
  </si>
  <si>
    <t>Unit 2 documentation - Risk Registe</t>
  </si>
  <si>
    <t>Unit 2 documentation - Phase 1 Group Reflection</t>
  </si>
  <si>
    <t>GenAI course attendance records</t>
  </si>
  <si>
    <t>29/08/2026</t>
  </si>
  <si>
    <t>31/08/2036</t>
  </si>
  <si>
    <t>39/08/2036</t>
  </si>
  <si>
    <t>4 members enrolled</t>
  </si>
  <si>
    <t xml:space="preserve">Thabang Zitha	</t>
  </si>
  <si>
    <t>Current process and problem documentation</t>
  </si>
  <si>
    <t>Project aim, objectives and scope definition</t>
  </si>
  <si>
    <t>Stakeholder interview preparation</t>
  </si>
  <si>
    <t>Functional requirements documentation</t>
  </si>
  <si>
    <t>Non-functional requirements documentation</t>
  </si>
  <si>
    <t>Legal feasibility evaluation</t>
  </si>
  <si>
    <t>Refine project scope</t>
  </si>
  <si>
    <t>Update functional requirements (FR-08, FR-18)</t>
  </si>
  <si>
    <t>Create requirements change log</t>
  </si>
  <si>
    <t>Documented the current manual process. Created process flow diagram. Wrote the problem statement.</t>
  </si>
  <si>
    <t>Defined project aim, 8 objectives, and project scope including deliverables, acceptance criteria, exclusions, constraints, and assumptions.</t>
  </si>
  <si>
    <t>Prepared interview questions for stakeholder. Ensured all key areas were covered.</t>
  </si>
  <si>
    <t>Documented 17 functional requirements. Created requirements prioritisation using MoSCoW method.</t>
  </si>
  <si>
    <t>Documented 8 non-functional requirements covering usability, performance, security, availability, and quality.</t>
  </si>
  <si>
    <t xml:space="preserve">	Evaluated legal feasibility. Assessed data protection, privacy, personal information collection, and GitHub security measures.</t>
  </si>
  <si>
    <t>Refined project scope based on feasibility findings. Documented decisions for each function (Keep, Simplify, Postpone, Remove).</t>
  </si>
  <si>
    <t>Added FR-08 (Customer Cancellation) and FR-18 (Payment Method Selection) as Must Have requirements based on lecturer feedback. Updated MoSCoW prioritisation.</t>
  </si>
  <si>
    <t xml:space="preserve">	Created comprehensive requirements change log documenting all changes including FR-08 (changed to Must Have), FR-18 (new), FR-09 (simplified), FR-13 (postponed).</t>
  </si>
  <si>
    <t>Actively participated in the GenAI course conducted by Ms Lonergan for Supabase and ASP.NET skill enhancement.</t>
  </si>
  <si>
    <t>Unit 2 documentation - Requirements Change Lo</t>
  </si>
  <si>
    <t>Unit 2 documentation - Refined Project Scope</t>
  </si>
  <si>
    <t>SRS: Current Process and Diagram</t>
  </si>
  <si>
    <t>SRS - Purpose, Aim and Objectives, Project Scope</t>
  </si>
  <si>
    <t>SRS : Functional Requirements, MoSCoW</t>
  </si>
  <si>
    <t>SRS: Non-Functional Requirements</t>
  </si>
  <si>
    <t>SRS: Functional Requirements, MoSCoW</t>
  </si>
  <si>
    <t>29/08/2036</t>
  </si>
  <si>
    <t>Stakeholder interview participation</t>
  </si>
  <si>
    <t>Initial SRS - Backend and integration sections</t>
  </si>
  <si>
    <t>Supabase project setup</t>
  </si>
  <si>
    <t>Technical feasibility evaluation</t>
  </si>
  <si>
    <t>Risk identification (R01, R04, R06)</t>
  </si>
  <si>
    <t xml:space="preserve">	Update database schema</t>
  </si>
  <si>
    <t>SRS update - Feasibility section</t>
  </si>
  <si>
    <t>Integrated the complete feasibility study into the SRS document. Ensured all 6 feasibility areas were properly documented.</t>
  </si>
  <si>
    <t>Designed and documented database schema updates including payment_method (VARCHAR 10), cancelled_at (TIMESTAMP), and cancellation_reason (VARCHAR 255) fields for the Bookings table.</t>
  </si>
  <si>
    <t xml:space="preserve">	Identified and documented technical risks: R01 (Supabase integration), R04 (integration delays), R06 (email system failure). Provided mitigation and contingency actions.</t>
  </si>
  <si>
    <t>Led the technical feasibility evaluation. Assessed Flutter, ASP.NET, and Supabase skills. Identified technical strengths and limitations. Determined GenAI course participation benefits.</t>
  </si>
  <si>
    <t xml:space="preserve">	Created the initial Supabase project for Cutting Edge SMS. Configured database tables for Users, Bookings, Services, and Stylists.</t>
  </si>
  <si>
    <t>Contributed to SRS sections including System Requirements, Integration Requirements, and Main ASP.NET and Supabase Functions.</t>
  </si>
  <si>
    <t>Participated in the stakeholder interview. Took notes on technical requirements and backend preferences.</t>
  </si>
  <si>
    <t>SRS - System Requirements,: Integration Requirements, Main Functions</t>
  </si>
  <si>
    <t>Unit 2 documentation -  Technical Feasibility</t>
  </si>
  <si>
    <t>Unit 2 documentation -  Risk Register</t>
  </si>
  <si>
    <t xml:space="preserve">	Unit 2 documentation - Database Schema Update</t>
  </si>
  <si>
    <t>Updated SRS - Feasibility Study</t>
  </si>
  <si>
    <t>Initial SRS - Frontend and UI sections</t>
  </si>
  <si>
    <t>Operational feasibility evaluation</t>
  </si>
  <si>
    <t>Risk identification (R04, R07)</t>
  </si>
  <si>
    <t>SRS update - Refined project scope</t>
  </si>
  <si>
    <t>Documented the refined project scope with decisions for each function: Keep (14 requirements), Simplify (FR-09), Postpone (FR-13).</t>
  </si>
  <si>
    <t>Identified and documented technical risks: R04 (integration between Flutter, ASP.NET, and Supabase) and R07 (Google Maps API quota limitations).</t>
  </si>
  <si>
    <t xml:space="preserve">	Led the operational feasibility evaluation. Assessed whether the proposed solution works for the stakeholder and intended users. Evaluated suitability for target users (ages 10-30).</t>
  </si>
  <si>
    <t>Contributed to SRS sections including Product Perspective, Main Flutter Functions, and User Interface requirements.</t>
  </si>
  <si>
    <t>Participated in the stakeholder interview. Took notes on frontend requirements, UI preferences, and "Luxury" brand expectations.</t>
  </si>
  <si>
    <t>Unit 2 documentation, Operational Feasibility</t>
  </si>
  <si>
    <t>SRS -  Product Perspective, : Main Functions</t>
  </si>
  <si>
    <t>Microsoft Project schedule creation</t>
  </si>
  <si>
    <t>GitHub repository creation</t>
  </si>
  <si>
    <t>Progress report and contribution record</t>
  </si>
  <si>
    <t>Schedule feasibility evaluation</t>
  </si>
  <si>
    <t>Risk register formatting</t>
  </si>
  <si>
    <t>Microsoft Project schedule update</t>
  </si>
  <si>
    <t>GitHub repository maintenance</t>
  </si>
  <si>
    <t>Project Progress Tracker update</t>
  </si>
  <si>
    <t>Updated the Project Progress Tracker for Unit 2. Recorded task progress, individual contributions, challenges, and actions.</t>
  </si>
  <si>
    <t>Maintained the GitHub repository. Added Unit 2 documentation, feasibility study, risk register, and updated SRS.</t>
  </si>
  <si>
    <t>Updated the Microsoft Project schedule to reflect Unit 2 progress and refined scope. Added new tasks for FR-08 and FR-18 implementation.</t>
  </si>
  <si>
    <t>Formatted the risk register. Created the risk register table with all 10 risks, likelihood, impact, scores, mitigation, contingency, owners, and status.</t>
  </si>
  <si>
    <t>Evaluated schedule feasibility. Assessed whether all work can be completed within the semester. Identified time constraints and required changes.</t>
  </si>
  <si>
    <t>Completed the progress report and contribution record for Unit 1. Documented all team contributions.</t>
  </si>
  <si>
    <t>Created and configured the GitHub repository. Set up folder structure. Added README and initial documentation</t>
  </si>
  <si>
    <t>Created the initial Microsoft Project schedule with tasks, dates, durations, responsibilities, dependencies, and milestones.</t>
  </si>
  <si>
    <t>Participated in the stakeholder interview. Documented interview findings and organised stakeholder evidence.</t>
  </si>
  <si>
    <t xml:space="preserve"> Interview Questions and Responses,  Photos</t>
  </si>
  <si>
    <t>Project Progress Tracker - Unit 1</t>
  </si>
  <si>
    <t>Unit 2 documentation - Schedule Feasibility</t>
  </si>
  <si>
    <t>Unit 2 documentation - Risk Register</t>
  </si>
  <si>
    <t>Updated Microsoft Project .mpp file</t>
  </si>
  <si>
    <t xml:space="preserve">	https://github.com/Yamkela47/Group-B-.git</t>
  </si>
  <si>
    <t>Updated Project Progress Tracker</t>
  </si>
  <si>
    <t xml:space="preserve">	Actively participated in the GenAI course conducted by Ms Lonergan for Supabase and ASP.NET skill enhancement.</t>
  </si>
  <si>
    <t>Meeting</t>
  </si>
  <si>
    <t>Conduct initial stakeholder interview to identify the problem, gather requirements, understand current process, and confirm stakeholder needs and expectations.</t>
  </si>
  <si>
    <t>Cutting Edge Salon Owner / Manager</t>
  </si>
  <si>
    <t xml:space="preserve">	• Salon Name: Cutting Edge
• Established: 11 April 2022
• Main Problem: "To alleviate mismanagement of daily store running"
• Main Goals: "To showcase our products and services and to allow for a smooth booking system"
• Target Audience: 10-30 years old, everyone (Men, Women, Children)
• Core Services: Hair cutting, hair colouring, beard shaving, hot towel treatment
• Brand Vibe: "Luxury"
• Competitor: Legendary Barber
• Desired Pages: Home, About Us, Services, Pricing, Our Team, Gallery, Booking
• Operating Hours: Weekdays 9-6, Saturdays 8:30-5, Sundays 08:30-13:00
• Address: 10 Melck Street, Pioneer Building, Welkom Central
• Contact: 0787676599 / cutinged@88@gmail.com
• Stylists: All offer the same services
• WhatsApp for Bookings: NO (confirmed)
• Services: Standard haircut = 40 min, Cut &amp; Dye = 1h 15min</t>
  </si>
  <si>
    <t>Document all findings in SRS. Begin development of Initial Software Requirements Specification (SRS).</t>
  </si>
  <si>
    <t>Interview Questions and Responses (Full Transcript)
Interview Meeting Evidence (Photos)
Interview notes, meeting records</t>
  </si>
  <si>
    <t>Requirements confirmation</t>
  </si>
  <si>
    <t>Summarise main findings and confirm that the group's understanding of the stakeholder's needs and requirements is correct.</t>
  </si>
  <si>
    <t>Confirmed Findings:
• The current manual diary system is inefficient and causes mismanagement
• The stakeholder wants customers to book online
• The stakeholder wants a "Luxury" feel
• The stakeholder does NOT want WhatsApp bookings
• The stakeholder has stylists who all offer the same services
• The stakeholder wants pages: Home, About Us, Services, Pricing, Our Team, Gallery, Booking
• Promote "Cut and Dye" as the flagship service</t>
  </si>
  <si>
    <t>Proceed with SRS development based on confirmed requirements.</t>
  </si>
  <si>
    <t>Appendix C: Stakeholder Confirmation of Findings
Summary notes</t>
  </si>
  <si>
    <t>31 Aug - 2 Sep 2026</t>
  </si>
  <si>
    <t>Scope change discussion</t>
  </si>
  <si>
    <t>Present and discuss lecturer-advised scope changes and new requirements: FR-08 (Customer Cancellation) and FR-18 (Payment Method Selection - Cash/Card).</t>
  </si>
  <si>
    <t>Goitseone Kgwele, Thabang Zitha</t>
  </si>
  <si>
    <t>Pending confirmation
Proposed Changes to Discuss:
• FR-08: Customer cancellation functionality (lecturer-advised)
• FR-18: Payment method selection (cash or card) - lecturer-advised
• FR-09: Email reminders simplified to manual reminders
• FR-13: Gallery display postponed to Phase 2
• Scope refinement based on feasibility study findings
Reasons: Lecturer feedback; ensures comprehensive functionality; improves customer experience and staff efficiency</t>
  </si>
  <si>
    <t>Record stakeholder comments. Confirm acceptance of changes. Update SRS accordingly. Document meeting notes and confirmation.</t>
  </si>
  <si>
    <t>Meeting notes to be recorded
Email confirmation or WhatsApp communication</t>
  </si>
  <si>
    <t xml:space="preserve">	Final scope confirmation</t>
  </si>
  <si>
    <t>Confirm all scope changes and refined project scope with stakeholder. Obtain final approval.</t>
  </si>
  <si>
    <t>Pending confirmation
Final Scope to Confirm:
• 14 Must Have requirements including FR-08 and FR-18
• 4 Should Have requirements
• FR-13 (Gallery) postponed to Phase 2
• FR-09 (Email reminders) simplified to manual reminders
• Database schema updates: payment_method, cancelled_at, cancellation_reason
• Refined project scope and deliverables</t>
  </si>
  <si>
    <t>Obtain stakeholder confirmation. Document final decisions. Update SRS with confirmed changes.</t>
  </si>
  <si>
    <t>Confirmation summary
Signed confirmation (if available)
Email or WhatsApp communication</t>
  </si>
  <si>
    <t>Coordinating schedules for the in-person stakeholder interview due to conflicting availability of all group members and stakeholder.</t>
  </si>
  <si>
    <t>Translating subjective stakeholder requirements (e.g., "Luxury" feel) into measurable non-functional requirements.</t>
  </si>
  <si>
    <t xml:space="preserve">	Supabase integration confidence - the group has practical experience but recognises the need for enhanced skills.</t>
  </si>
  <si>
    <t>Managing the expanded scope of 19 functional requirements (17 original + 2 new additions).</t>
  </si>
  <si>
    <t>Incorporating lecturer feedback (FR-08: Customer Cancellation, FR-18: Payment Method Selection) requiring updates to SRS, database schema, and process flows.</t>
  </si>
  <si>
    <t xml:space="preserve">	One group member (Yamkela Mazamani) not enrolled in the GenAI course for Supabase enhancement.</t>
  </si>
  <si>
    <t xml:space="preserve">	Risk of unequal participation and poor communication affecting project progress and quality.</t>
  </si>
  <si>
    <t>Limited time available for testing and corrections in the development schedule.</t>
  </si>
  <si>
    <t>Stakeholder confirmation of scope changes still pending.</t>
  </si>
  <si>
    <t>Balancing stakeholder expectations with realistic deliverables based on feasibility findings.</t>
  </si>
  <si>
    <t>Delayed the stakeholder interview by 2 days. Affected the start of requirements documentation.</t>
  </si>
  <si>
    <t>Potential ambiguity in requirements could lead to misinterpretation during development.</t>
  </si>
  <si>
    <t>Could delay backend integration and database operations during development phase.</t>
  </si>
  <si>
    <t>Risk of scope creep; could prevent prototype completion within the semester.</t>
  </si>
  <si>
    <t>Required significant updates to existing documentation. Potential schedule impact.</t>
  </si>
  <si>
    <t>Knowledge gap may affect Supabase integration contributions from that member.</t>
  </si>
  <si>
    <t>Could cause delays, incomplete tasks, and reduced quality of deliverables.</t>
  </si>
  <si>
    <t>Could affect prototype quality and stakeholder acceptance.</t>
  </si>
  <si>
    <t>Cannot finalise SRS until stakeholder approves new features and scope changes.</t>
  </si>
  <si>
    <t>Risk of stakeholder dissatisfaction if features are postponed or removed.</t>
  </si>
  <si>
    <t>Rescheduled interview to a mutually convenient date. Communicated with stakeholder via multiple channels (call, WhatsApp, email) to confirm availability. Assigned Goitseone as primary contact.</t>
  </si>
  <si>
    <t>Conducted detailed follow-up questions during interview. Documented specific UI/UX expectations (e.g., elegant colour scheme, premium feel, smooth animations). Referenced brand colours and materials provided by stakeholder.</t>
  </si>
  <si>
    <t>Four members enrolled in the GenAI course conducted by Ms Lonergan for Supabase and ASP.NET skill enhancement. Shared learning across the entire group. Created plan to test basic integration early.</t>
  </si>
  <si>
    <t>Conducted MoSCoW prioritisation analysis. Identified 14 Must Have requirements (including FR-08 and FR-18) and 4 Should Have requirements. Postponed FR-13 (Gallery) to Phase 2. Simplified FR-09 (Email reminders) to manual reminders.</t>
  </si>
  <si>
    <t>Added FR-08 and FR-18 as Must Have requirements. Updated SRS Updated database schema with paymentmethod, cancelledat, and cancellation reason fields. Created requirements change log.</t>
  </si>
  <si>
    <t>Group agreed to share all GenAI learnings with non-enrolled member. Scheduled knowledge transfer sessions during weekly meetings. All group members committed to supporting each other.</t>
  </si>
  <si>
    <t>Established weekly group progress meetings (every Monday). Record tasks and contributions in Project Progress Tracker. Maintain daily WhatsApp group for communication. Assigned clear tasks with deadlines. Escalation process established if concerns arise.</t>
  </si>
  <si>
    <t>Allocated dedicated testing time in Microsoft Project schedule (1.5 weeks). Developed test cases early. Prioritised critical functionality testing. Simplified features where necessary to reduce testing burden.</t>
  </si>
  <si>
    <t>Scheduled meeting with stakeholder for 31 Aug - 2 Sep 2026. Prepared presentation of changes and reasons (lecturer feedback, feasibility findings). Will document stakeholder response and update SRS accordingly.</t>
  </si>
  <si>
    <t>Prepared clear rationale for all scope changes based on feasibility study findings. Will present benefits of core functionality first. Emphasised that postponed features (FR-13) can be added later.</t>
  </si>
  <si>
    <t>Goitseone Kgwele</t>
  </si>
  <si>
    <t>Thabang Zitha, Nyakallo Pali</t>
  </si>
  <si>
    <t>All Members</t>
  </si>
  <si>
    <t>Resolved</t>
  </si>
  <si>
    <t>Successfully completed Units 1 and 2 of the project. Developed the complete Initial Software Requirements Specification (SRS) with 19 functional requirements (17 original + 2 new). Conducted a comprehensive feasibility study covering all 6 areas (Technical, Operational, Economic, Schedule, Legal, and Ethical). Created a project risk register with 10 project-specific risks with likelihood, impact, mitigation, contingency, owners, and status. Completed a SWOT analysis. Incorporated lecturer-advised enhancements including payment method selection (FR-18) and customer cancellation (FR-08). Updated database schema with payment_method, cancelled_at, and cancellation_reason fields. Created requirements change log and refined project scope. Updated Microsoft Project schedule, GitHub repository, and Project Progress Tracker. Prepared Phase 1 PowerPoint presentation. All group members have practical experience in Flutter, ASP.NET, and Supabase, with 4 members enrolled in the GenAI course for advanced Supabase training.</t>
  </si>
  <si>
    <t>Stakeholder confirmation of scope changes (FR-08: Customer Cancellation, FR-18: Payment Method Selection) is still pending. One group member (Yamkela Mazamani) not enrolled in the GenAI course, though learnings will be shared. Individual confidential peer check not yet completed.</t>
  </si>
  <si>
    <t>Stakeholder confirmation meeting scheduled for 31 August - 2 September 2026. Yamkela's GenAI course non-enrolment due to personal scheduling reasons; group will share learnings. Individual peer check is a confidential assessment to be completed individually.</t>
  </si>
  <si>
    <t>Nyakallo Pali (ASP.NET Lead): Technical feasibility evaluation, Supabase setup, database schema update, risk identification (R01, R04, R06). Bennet Linda (Flutter Lead): Operational feasibility evaluation, risk identification (R04, R07), refined project scope. Thabang Zitha (Requirements Analyst): Functional and non-functional requirements, MoSCoW prioritisation, FR-08 and FR-18 implementation, requirements change log, legal feasibility. Goitseone Kgwele (Facilitator): Stakeholder engagement, ethical feasibility, risk register oversight, Phase 1 group reflection coordination. Yamkela Mazamani (Documentation): GitHub repository, Microsoft Project schedule, Project Progress Tracker, schedule feasibility, risk register formatting</t>
  </si>
  <si>
    <t>No. All group members have participated actively and contributed meaningfully to their assigned responsibilities. The group has worked well together with regular communication through WhatsApp and scheduled meetings. Tasks have been distributed according to individual skills and interests: 3 members strong with coding focus on technical implementation, while 2 members handle documentation and design.</t>
  </si>
  <si>
    <t xml:space="preserve">	1. Apply learning from the GenAI course for effective Supabase integration
2. Share GenAI learnings with the non-enrolled member
3. Ensure regular progress monitoring through weekly meetings
4. Maintain the risk register and update it as the project progresses
5. Document contributions for assessment evidence
6. Communicate more frequently about technical challenges
7. Implement cancellation logic carefully to ensure availability is restored correctly
8. Design intuitive UI for payment method selection and cancellation
9. Start development early to allow sufficient testing time
10. Conduct more frequent stakeholder check-ins during development</t>
  </si>
  <si>
    <t xml:space="preserve">	Unit 3: System Architecture and Design - System architecture design, database design, UI/UX design, API design, and integration planning. Additionally, obtain stakeholder confirmation of scope changes and commence development activities.</t>
  </si>
  <si>
    <t xml:space="preserve">	The most important learning was understanding the critical importance of early and thorough stakeholder engagement and honest scope assessment. We learned that translating subjective stakeholder requirements (like "luxury" feel) into measurable non-functional requirements requires careful questioning and documentation. Additionally, we discovered that realistic feasibility assessment is essential - we initially wanted to deliver all 17 requirements, but the feasibility study revealed that technical and schedule limitations required us to prioritise and make difficult decisions about what could realistically be delivered within the semester. The lecturer feedback (payment method selection and customer cancellation) taught us to be adaptable and responsive to valuable input. Finally, the GenAI course participation by four members showed us the value of continuous professional development and knowledge sharing.</t>
  </si>
  <si>
    <t xml:space="preserve">	Stakeholder engagement went exceptionally well. We successfully conducted an in-person interview with the salon owner, confirming all requirements and gathering valuable insights about the problem. Team collaboration was effective, with regular communication through WhatsApp and scheduled meetings. Tasks were distributed according to individual skills: 3 members strong with coding focused on technical implementation, while 2 members handled documentation and design. The feasibility study was comprehensive and honest, evaluating all 6 areas thoroughly. The risk register with 10 project-specific risks was completed successfully with clear mitigation and contingency actions. Incorporating lecturer feedback (FR-08 and FR-18) was handled efficiently. The GenAI course participation by four members demonstrated the group's commitment to professional development. Overall, we completed all Unit 1 and Unit 2 deliverables on schedule.</t>
  </si>
  <si>
    <t xml:space="preserve">	Scope management was the most difficult aspect. We started with 17 requirements, then added 2 more based on lecturer feedback (FR-08 and FR-18), bringing the total to 19. Deciding which features to postpone (FR-13: Gallery) or simplify (FR-09: Email reminders) was challenging because we wanted to deliver everything but had to be realistic about our capabilities and time constraints. Coordinating schedules for the stakeholder interview was also difficult due to conflicting availability of all group members and the stakeholder. Translating subjective stakeholder requirements (e.g., "Luxury" feel) into measurable non-functional requirements required careful questioning and documentation. Supabase integration is an area where we have practical experience but recognise the need for enhanced skills, which is why four members enrolled in the GenAI course.</t>
  </si>
  <si>
    <t xml:space="preserve">	Tasks were divided according to individual skills and interests. Goitseone Kgwele led stakeholder engagement, SRS coordination, and risk register oversight. Thabang Zitha focused on requirements analysis, MoSCoW prioritisation, and scope refinement. Nyakallo Pali led technical feasibility, Supabase setup, and database schema updates. Bennet Linda led operational feasibility and frontend planning. Yamkela Mazamani handled documentation, GitHub maintenance, and Microsoft Project updates. This division allowed us to leverage each member's strengths effectively.</t>
  </si>
  <si>
    <t>Yes, all members contributed fairly and meaningfully. Each member completed their assigned tasks on time and to a high standard. The 3 members strong with coding (Nyakallo, Bennet, and Goitseone) focused on technical aspects, while the 2 members skilled in documentation (Thabang and Yamkela) ensured high-quality project documentation. Regular check-ins and the Project Progress Tracker helped ensure accountability. All members participated in group meetings and contributed to the feasibility study, risk register, and group reflection. The only minor gap is that one member (Yamkela) is not enrolled in the GenAI course, but the group has committed to sharing all learnings.</t>
  </si>
  <si>
    <t>Disagreements were handled through open discussion during group meetings. For example, when deciding which features to postpone, we had productive discussions and reached consensus through the MoSCoW prioritisation method. Delays were managed proactively: when the stakeholder interview had to be rescheduled, we communicated with the stakeholder promptly and adjusted our timeline. When lecturer feedback required additional work (FR-08 and FR-18), we absorbed the extra work by reassigning tasks and extending working hours. The group's collaborative approach and commitment to open communication helped resolve all issues constructively.</t>
  </si>
  <si>
    <t>We learned that Cutting Edge Salon faces significant operational challenges due to its manual booking system. The stakeholder's primary goal is to "alleviate mismanagement of daily store running" and provide a "luxury" customer experience. We learned that the target market (ages 10-30) expects digital convenience and self-service booking capabilities. The stakeholder values the "Cut and Dye" service as the flagship offering and wants to promote it prominently. We also learned that the stakeholder explicitly does not want WhatsApp bookings. Additionally, we learned the importance of understanding the "luxury" brand identity and how to translate it into a digital experience.</t>
  </si>
  <si>
    <t>Apply GenAI learning for effective Supabase integration. Four members have enrolled in the GenAI course conducted by Ms Lonergan. We will actively apply the learning from this course to build confidence and practical skills with Supabase integration. We will share this knowledge with the non-enrolled member through weekly knowledge transfer sessions. This will ensure smooth integration between Flutter, ASP.NET, and Supabase.</t>
  </si>
  <si>
    <t xml:space="preserve">	Increase frequency of progress monitoring and risk register reviews. While we held weekly meetings during Units 1 and 2, we will increase the frequency of progress checks during the development phase. We will review the risk register weekly and update it as the project progresses. We will also ensure that the non-enrolled member is fully upskilled through shared learnings. This will help us identify and address issues early, maintain momentum, and ensure we stay on schedule.</t>
  </si>
  <si>
    <t>Unit 3: System Architecture and Design. Our priority is to design the system architecture, database design, UI/UX design, API design, and integration planning. We must also obtain stakeholder confirmation of the scope changes (FR-08 and FR-18) and commence development activities. Additionally, we will share all GenAI learnings with the non-enrolled member to ensure the whole group is prepared for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</si>
</sst>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10">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11"/>
      <color rgb="FF0F1115"/>
      <name val="Segoe UI"/>
      <family val="2"/>
    </font>
    <font>
      <sz val="11"/>
      <color rgb="FF0F1115"/>
      <name val="Segoe UI"/>
      <family val="2"/>
    </font>
    <font>
      <sz val="8"/>
      <name val="Carlito"/>
    </font>
    <font>
      <u/>
      <sz val="11"/>
      <color theme="10"/>
      <name val="Carlito"/>
    </font>
  </fonts>
  <fills count="8">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
      <patternFill patternType="solid">
        <fgColor rgb="FFFFFFFF"/>
        <bgColor indexed="64"/>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9" fillId="0" borderId="0" applyNumberFormat="0" applyFill="0" applyBorder="0" applyAlignment="0" applyProtection="0"/>
  </cellStyleXfs>
  <cellXfs count="43">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165" fontId="0" fillId="0" borderId="8" xfId="0" applyNumberFormat="1" applyBorder="1" applyAlignment="1">
      <alignment vertical="top" wrapText="1"/>
    </xf>
    <xf numFmtId="166" fontId="0" fillId="0" borderId="8" xfId="0" applyNumberFormat="1" applyBorder="1" applyAlignment="1">
      <alignment vertical="top" wrapText="1"/>
    </xf>
    <xf numFmtId="0" fontId="0" fillId="0" borderId="6" xfId="0" applyBorder="1" applyAlignment="1">
      <alignment vertical="top" wrapText="1"/>
    </xf>
    <xf numFmtId="167" fontId="0" fillId="0" borderId="0" xfId="0" applyNumberFormat="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1" fillId="2" borderId="0" xfId="0" applyFont="1" applyFill="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2" fillId="3" borderId="0" xfId="0" applyFont="1" applyFill="1" applyAlignment="1">
      <alignment vertical="top" wrapText="1"/>
    </xf>
    <xf numFmtId="0" fontId="3" fillId="5" borderId="1" xfId="0" applyFont="1" applyFill="1" applyBorder="1" applyAlignment="1">
      <alignment horizontal="left" vertical="center"/>
    </xf>
    <xf numFmtId="0" fontId="3" fillId="5" borderId="2" xfId="0" applyFont="1" applyFill="1" applyBorder="1" applyAlignment="1">
      <alignment horizontal="left" vertical="center"/>
    </xf>
    <xf numFmtId="0" fontId="3" fillId="5" borderId="0" xfId="0" applyFont="1" applyFill="1" applyAlignment="1">
      <alignment horizontal="left" vertical="center"/>
    </xf>
    <xf numFmtId="0" fontId="3" fillId="2" borderId="8" xfId="0" applyFont="1" applyFill="1" applyBorder="1" applyAlignment="1">
      <alignment horizontal="center" vertical="center" wrapText="1"/>
    </xf>
    <xf numFmtId="0" fontId="6" fillId="0" borderId="0" xfId="0" applyFont="1"/>
    <xf numFmtId="0" fontId="7" fillId="0" borderId="0" xfId="0" applyFont="1"/>
    <xf numFmtId="0" fontId="9" fillId="0" borderId="0" xfId="1"/>
    <xf numFmtId="14" fontId="6" fillId="0" borderId="0" xfId="0" applyNumberFormat="1" applyFont="1"/>
    <xf numFmtId="0" fontId="6" fillId="7" borderId="0" xfId="0" applyFont="1" applyFill="1" applyAlignment="1">
      <alignment horizontal="left" vertical="center" wrapText="1" indent="1"/>
    </xf>
    <xf numFmtId="0" fontId="9" fillId="0" borderId="0" xfId="1" applyAlignment="1">
      <alignment vertical="top" wrapText="1"/>
    </xf>
    <xf numFmtId="0" fontId="6" fillId="0" borderId="0" xfId="0" applyFont="1" applyAlignment="1">
      <alignment wrapText="1"/>
    </xf>
  </cellXfs>
  <cellStyles count="2">
    <cellStyle name="Hyperlink" xfId="1" builtinId="8"/>
    <cellStyle name="Normal" xfId="0" builtinId="0"/>
  </cellStyles>
  <dxfs count="14">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34</c:v>
                </c:pt>
                <c:pt idx="1">
                  <c:v>1</c:v>
                </c:pt>
                <c:pt idx="2">
                  <c:v>0</c:v>
                </c:pt>
                <c:pt idx="3">
                  <c:v>0</c:v>
                </c:pt>
                <c:pt idx="4">
                  <c:v>0</c:v>
                </c:pt>
                <c:pt idx="5">
                  <c:v>0</c:v>
                </c:pt>
              </c:numCache>
            </c:numRef>
          </c:val>
          <c:extLst>
            <c:ext xmlns:c16="http://schemas.microsoft.com/office/drawing/2014/chart" uri="{C3380CC4-5D6E-409C-BE32-E72D297353CC}">
              <c16:uniqueId val="{00000000-66FE-464B-AC0A-188FCD96690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240C74-76DB-4AF6-B6E6-FE77E30C698F}" name="IndividualContributionsTable6" displayName="IndividualContributionsTable6" ref="A2:L201">
  <tableColumns count="12">
    <tableColumn id="1" xr3:uid="{E1BC19F8-8662-46ED-8194-FA581AC45FD7}" name="Student Name"/>
    <tableColumn id="2" xr3:uid="{EEDDAD12-5AA5-4928-B2DA-7265BFE99D56}" name="Student Number"/>
    <tableColumn id="3" xr3:uid="{6098BBDE-C560-4A5D-ADAD-0113746E7818}" name="Reporting Phase"/>
    <tableColumn id="4" xr3:uid="{80008BC4-4775-4A54-AA76-EBEB0643CB94}" name="Activity" dataDxfId="13"/>
    <tableColumn id="5" xr3:uid="{5024198A-0730-4B2C-BCFC-D053EB7A303F}" name="Assigned Responsibility" dataDxfId="12"/>
    <tableColumn id="6" xr3:uid="{4A3BE935-86A9-49D6-82FE-DEC017BD3AC7}" name="Work Personally Completed"/>
    <tableColumn id="7" xr3:uid="{C589402A-7612-4C85-B318-49D1EF474CD0}" name="Date Completed"/>
    <tableColumn id="8" xr3:uid="{8A6564D9-4399-46F7-B097-0E148CD65423}" name="Hours Spent"/>
    <tableColumn id="9" xr3:uid="{AB90DE73-37FE-457F-9CBF-EACE9EA695A9}" name="Evidence / Link"/>
    <tableColumn id="10" xr3:uid="{6AC84AB7-9ABB-4B96-8D69-3143189A336D}" name="Verified by Group"/>
    <tableColumn id="11" xr3:uid="{35B18534-3AF6-4864-93D4-B2984F7344B3}" name="Verification Date"/>
    <tableColumn id="12" xr3:uid="{8088BE65-F914-4E86-B4D1-A26CB2B37AC1}"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github.com/Yamkela47/Group-B-.git" TargetMode="External"/><Relationship Id="rId1" Type="http://schemas.openxmlformats.org/officeDocument/2006/relationships/hyperlink" Target="https://github.com/Yamkela47/Group-B-.git"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github.com/Yamkela47/Group-B-.git" TargetMode="External"/><Relationship Id="rId1" Type="http://schemas.openxmlformats.org/officeDocument/2006/relationships/hyperlink" Target="https://asp.net/"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A10" workbookViewId="0">
      <selection activeCell="A10" sqref="A10"/>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20.100000000000001" customHeight="1">
      <c r="A1" s="27" t="s">
        <v>0</v>
      </c>
      <c r="B1" s="27"/>
      <c r="C1" s="27"/>
      <c r="D1" s="27"/>
      <c r="E1" s="27"/>
      <c r="F1" s="27"/>
      <c r="G1" s="27"/>
      <c r="H1" s="27"/>
    </row>
    <row r="3" spans="1:8" ht="27.95" customHeight="1">
      <c r="A3" s="31" t="s">
        <v>1</v>
      </c>
      <c r="B3" s="31"/>
      <c r="C3" s="31"/>
      <c r="D3" s="31"/>
      <c r="E3" s="31"/>
      <c r="F3" s="31"/>
      <c r="G3" s="31"/>
      <c r="H3" s="31"/>
    </row>
    <row r="5" spans="1:8" ht="15">
      <c r="A5" s="1" t="s">
        <v>2</v>
      </c>
      <c r="B5" s="2" t="s">
        <v>3</v>
      </c>
      <c r="D5" s="32" t="s">
        <v>4</v>
      </c>
      <c r="E5" s="33"/>
      <c r="F5" s="34"/>
      <c r="G5" s="34"/>
      <c r="H5" s="34"/>
    </row>
    <row r="6" spans="1:8" ht="45.6" customHeight="1">
      <c r="A6" s="3" t="s">
        <v>5</v>
      </c>
      <c r="B6" s="4" t="s">
        <v>6</v>
      </c>
      <c r="D6" s="3" t="s">
        <v>7</v>
      </c>
      <c r="E6" s="4" t="s">
        <v>8</v>
      </c>
    </row>
    <row r="7" spans="1:8" ht="41.45" customHeight="1">
      <c r="A7" s="3" t="s">
        <v>9</v>
      </c>
      <c r="B7" s="4" t="s">
        <v>10</v>
      </c>
      <c r="D7" s="3" t="s">
        <v>11</v>
      </c>
      <c r="E7" s="4" t="s">
        <v>12</v>
      </c>
    </row>
    <row r="8" spans="1:8" ht="35.450000000000003" customHeight="1">
      <c r="A8" s="3" t="s">
        <v>13</v>
      </c>
      <c r="B8" s="4" t="s">
        <v>14</v>
      </c>
      <c r="D8" s="3" t="s">
        <v>15</v>
      </c>
      <c r="E8" s="4" t="s">
        <v>16</v>
      </c>
    </row>
    <row r="9" spans="1:8" ht="35.1" customHeight="1">
      <c r="A9" s="3" t="s">
        <v>17</v>
      </c>
      <c r="B9" s="4" t="s">
        <v>18</v>
      </c>
      <c r="D9" s="3" t="s">
        <v>19</v>
      </c>
      <c r="E9" s="4" t="s">
        <v>20</v>
      </c>
    </row>
    <row r="10" spans="1:8" ht="44.45" customHeight="1">
      <c r="A10" s="3" t="s">
        <v>21</v>
      </c>
      <c r="B10" s="4" t="s">
        <v>22</v>
      </c>
      <c r="D10" s="3" t="s">
        <v>23</v>
      </c>
      <c r="E10" s="4" t="s">
        <v>24</v>
      </c>
    </row>
    <row r="11" spans="1:8" ht="38.450000000000003" customHeight="1">
      <c r="A11" s="3" t="s">
        <v>25</v>
      </c>
      <c r="B11" s="4" t="s">
        <v>26</v>
      </c>
      <c r="D11" s="5" t="s">
        <v>27</v>
      </c>
      <c r="E11" s="6" t="s">
        <v>28</v>
      </c>
    </row>
    <row r="12" spans="1:8" ht="28.5">
      <c r="A12" s="5" t="s">
        <v>29</v>
      </c>
      <c r="B12" s="6" t="s">
        <v>30</v>
      </c>
    </row>
    <row r="13" spans="1:8" ht="15">
      <c r="D13" s="32" t="s">
        <v>31</v>
      </c>
      <c r="E13" s="33"/>
      <c r="F13" s="34"/>
      <c r="G13" s="34"/>
      <c r="H13" s="34"/>
    </row>
    <row r="14" spans="1:8" ht="30">
      <c r="D14" s="3" t="s">
        <v>32</v>
      </c>
      <c r="E14" s="4" t="s">
        <v>33</v>
      </c>
    </row>
    <row r="15" spans="1:8" ht="15">
      <c r="D15" s="3" t="s">
        <v>34</v>
      </c>
      <c r="E15" s="4" t="s">
        <v>35</v>
      </c>
    </row>
    <row r="16" spans="1:8" ht="15">
      <c r="D16" s="3" t="s">
        <v>36</v>
      </c>
      <c r="E16" s="4" t="s">
        <v>37</v>
      </c>
    </row>
    <row r="17" spans="4:5" ht="15">
      <c r="D17" s="5" t="s">
        <v>38</v>
      </c>
      <c r="E17" s="6" t="s">
        <v>39</v>
      </c>
    </row>
  </sheetData>
  <mergeCells count="4">
    <mergeCell ref="A1:H1"/>
    <mergeCell ref="A3:H3"/>
    <mergeCell ref="D5:H5"/>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abSelected="1" topLeftCell="B3" workbookViewId="0">
      <selection activeCell="B14" sqref="B14"/>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20.100000000000001" customHeight="1">
      <c r="A1" s="27" t="s">
        <v>40</v>
      </c>
      <c r="B1" s="27"/>
      <c r="C1" s="27"/>
      <c r="D1" s="27"/>
      <c r="E1" s="27"/>
      <c r="F1" s="27"/>
      <c r="G1" s="27"/>
      <c r="H1" s="27"/>
      <c r="I1" s="27"/>
      <c r="J1" s="27"/>
      <c r="K1" s="27"/>
      <c r="L1" s="27"/>
    </row>
    <row r="3" spans="1:12" ht="15">
      <c r="A3" s="1" t="s">
        <v>41</v>
      </c>
      <c r="B3" s="2" t="s">
        <v>42</v>
      </c>
      <c r="F3" s="1" t="s">
        <v>43</v>
      </c>
      <c r="G3" s="2" t="s">
        <v>44</v>
      </c>
    </row>
    <row r="4" spans="1:12" ht="18.600000000000001" customHeight="1">
      <c r="A4" s="3" t="s">
        <v>45</v>
      </c>
      <c r="B4" s="7" t="s">
        <v>171</v>
      </c>
      <c r="F4" s="3" t="s">
        <v>46</v>
      </c>
      <c r="G4" s="10">
        <f>COUNTIF('Task Progress'!H2:H101,"Completed")</f>
        <v>34</v>
      </c>
    </row>
    <row r="5" spans="1:12" ht="18.600000000000001" customHeight="1">
      <c r="A5" s="3" t="s">
        <v>47</v>
      </c>
      <c r="B5" s="7" t="s">
        <v>172</v>
      </c>
      <c r="F5" s="3" t="s">
        <v>48</v>
      </c>
      <c r="G5" s="10">
        <f>COUNTIF('Task Progress'!H2:H101,"In Progress")</f>
        <v>1</v>
      </c>
    </row>
    <row r="6" spans="1:12" ht="18.600000000000001" customHeight="1">
      <c r="A6" s="3" t="s">
        <v>49</v>
      </c>
      <c r="B6" s="7" t="s">
        <v>173</v>
      </c>
      <c r="F6" s="3" t="s">
        <v>50</v>
      </c>
      <c r="G6" s="10">
        <f>COUNTIF('Task Progress'!H2:H101,"Not Started")</f>
        <v>0</v>
      </c>
    </row>
    <row r="7" spans="1:12" ht="18.600000000000001" customHeight="1">
      <c r="A7" s="3" t="s">
        <v>51</v>
      </c>
      <c r="B7" s="7" t="s">
        <v>174</v>
      </c>
      <c r="F7" s="3" t="s">
        <v>52</v>
      </c>
      <c r="G7" s="10">
        <f>COUNTIF('Task Progress'!H2:H101,"Delayed")</f>
        <v>0</v>
      </c>
    </row>
    <row r="8" spans="1:12" ht="18.600000000000001" customHeight="1">
      <c r="A8" s="3" t="s">
        <v>53</v>
      </c>
      <c r="B8" s="7" t="s">
        <v>32</v>
      </c>
      <c r="F8" s="3" t="s">
        <v>54</v>
      </c>
      <c r="G8" s="10">
        <f>COUNTIF('Task Progress'!H2:H101,"Blocked")</f>
        <v>0</v>
      </c>
    </row>
    <row r="9" spans="1:12" ht="18.600000000000001" customHeight="1">
      <c r="A9" s="3" t="s">
        <v>55</v>
      </c>
      <c r="B9" s="37" t="s">
        <v>175</v>
      </c>
      <c r="F9" s="5" t="s">
        <v>56</v>
      </c>
      <c r="G9" s="11">
        <f ca="1">COUNTIF('Task Progress'!M2:M101,"Overdue")</f>
        <v>0</v>
      </c>
    </row>
    <row r="10" spans="1:12" ht="18.600000000000001" customHeight="1">
      <c r="A10" s="3" t="s">
        <v>57</v>
      </c>
      <c r="B10" s="7" t="s">
        <v>46</v>
      </c>
    </row>
    <row r="11" spans="1:12" ht="18.600000000000001" customHeight="1">
      <c r="A11" s="3" t="s">
        <v>58</v>
      </c>
      <c r="B11" s="8">
        <f>IFERROR(SUM('Task Progress'!I2:I101)/COUNTIF('Task Progress'!D2:D101,"&lt;&gt;")/100,0)</f>
        <v>0.95138888888888884</v>
      </c>
      <c r="F11" s="1" t="s">
        <v>59</v>
      </c>
      <c r="G11" s="2" t="s">
        <v>44</v>
      </c>
    </row>
    <row r="12" spans="1:12" ht="32.1" customHeight="1">
      <c r="A12" s="3" t="s">
        <v>60</v>
      </c>
      <c r="B12" s="7" t="s">
        <v>176</v>
      </c>
      <c r="F12" s="3" t="s">
        <v>61</v>
      </c>
      <c r="G12" s="10">
        <f>COUNTIF('Individual Contributions'!E3:E201,"?*")</f>
        <v>40</v>
      </c>
    </row>
    <row r="13" spans="1:12" ht="32.1" customHeight="1">
      <c r="A13" s="3" t="s">
        <v>62</v>
      </c>
      <c r="B13" s="7" t="s">
        <v>177</v>
      </c>
      <c r="F13" s="3" t="s">
        <v>63</v>
      </c>
      <c r="G13" s="10">
        <f>COUNTIFS('Individual Contributions'!E3:E201,"?*",'Individual Contributions'!J3:J201,"Yes")</f>
        <v>40</v>
      </c>
    </row>
    <row r="14" spans="1:12" ht="32.1" customHeight="1">
      <c r="A14" s="5" t="s">
        <v>64</v>
      </c>
      <c r="B14" s="9" t="s">
        <v>34</v>
      </c>
      <c r="F14" s="3" t="s">
        <v>65</v>
      </c>
      <c r="G14" s="10">
        <f>COUNTIFS('Individual Contributions'!E3:E201,"?*",'Individual Contributions'!J3:J201,"No")</f>
        <v>0</v>
      </c>
    </row>
    <row r="15" spans="1:12" ht="15">
      <c r="F15" s="5" t="s">
        <v>66</v>
      </c>
      <c r="G15" s="11">
        <f>COUNT('Stakeholder Engagement'!A3:A101)</f>
        <v>3</v>
      </c>
    </row>
  </sheetData>
  <mergeCells count="1">
    <mergeCell ref="A1:L1"/>
  </mergeCells>
  <dataValidations count="2">
    <dataValidation type="list" sqref="B8" xr:uid="{9421374B-6359-4910-B9E6-EE35EBF1AD43}">
      <formula1>"Unit 1 / Phase 1,Phase 2,Phase 3,Final"</formula1>
    </dataValidation>
    <dataValidation type="list" sqref="B10" xr:uid="{AC5CDC82-E1EA-4812-B5E6-80B0A3035916}">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topLeftCell="E2" workbookViewId="0">
      <selection activeCell="J11" sqref="J11"/>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20.100000000000001" customHeight="1">
      <c r="A1" s="27" t="s">
        <v>67</v>
      </c>
      <c r="B1" s="27"/>
      <c r="C1" s="27"/>
      <c r="D1" s="27"/>
      <c r="E1" s="27"/>
      <c r="F1" s="27"/>
      <c r="G1" s="27"/>
      <c r="H1" s="27"/>
      <c r="I1" s="27"/>
      <c r="J1" s="27"/>
      <c r="K1" s="27"/>
      <c r="L1" s="27"/>
      <c r="M1" s="27"/>
    </row>
    <row r="2" spans="1:13" ht="30">
      <c r="A2" s="1" t="s">
        <v>68</v>
      </c>
      <c r="B2" s="15" t="s">
        <v>69</v>
      </c>
      <c r="C2" s="15" t="s">
        <v>70</v>
      </c>
      <c r="D2" s="15" t="s">
        <v>71</v>
      </c>
      <c r="E2" s="15" t="s">
        <v>170</v>
      </c>
      <c r="F2" s="15" t="s">
        <v>72</v>
      </c>
      <c r="G2" s="15" t="s">
        <v>73</v>
      </c>
      <c r="H2" s="15" t="s">
        <v>74</v>
      </c>
      <c r="I2" s="15" t="s">
        <v>75</v>
      </c>
      <c r="J2" s="15" t="s">
        <v>76</v>
      </c>
      <c r="K2" s="15" t="s">
        <v>77</v>
      </c>
      <c r="L2" s="15" t="s">
        <v>78</v>
      </c>
      <c r="M2" s="2" t="s">
        <v>79</v>
      </c>
    </row>
    <row r="3" spans="1:13">
      <c r="A3" s="16" t="s">
        <v>80</v>
      </c>
      <c r="B3" s="12" t="s">
        <v>32</v>
      </c>
      <c r="C3" s="12" t="s">
        <v>81</v>
      </c>
      <c r="D3" s="12" t="s">
        <v>82</v>
      </c>
      <c r="E3" s="12" t="s">
        <v>174</v>
      </c>
      <c r="F3" s="13">
        <v>46249</v>
      </c>
      <c r="G3" s="13">
        <v>46252</v>
      </c>
      <c r="H3" s="12" t="s">
        <v>46</v>
      </c>
      <c r="I3" s="14">
        <v>100</v>
      </c>
      <c r="J3" s="12" t="s">
        <v>240</v>
      </c>
      <c r="K3" s="12" t="s">
        <v>237</v>
      </c>
      <c r="L3" s="12"/>
      <c r="M3" s="17" t="str">
        <f t="shared" ref="M3:M34" ca="1" si="0">IF(D3="","",IF(H3="Completed","Completed",IF(H3="Blocked","Blocked",IF(H3="Delayed","Delayed",IF(AND(G3&lt;&gt;"",G3&lt;TODAY(),H3&lt;&gt;"Completed"),"Overdue","On Track")))))</f>
        <v>Completed</v>
      </c>
    </row>
    <row r="4" spans="1:13" ht="28.5">
      <c r="A4" s="16" t="s">
        <v>83</v>
      </c>
      <c r="B4" s="12" t="s">
        <v>32</v>
      </c>
      <c r="C4" s="12" t="s">
        <v>81</v>
      </c>
      <c r="D4" s="12" t="s">
        <v>84</v>
      </c>
      <c r="E4" s="12" t="s">
        <v>229</v>
      </c>
      <c r="F4" s="13">
        <v>46252</v>
      </c>
      <c r="G4" s="13">
        <v>46254</v>
      </c>
      <c r="H4" s="12" t="s">
        <v>46</v>
      </c>
      <c r="I4" s="14">
        <v>100</v>
      </c>
      <c r="J4" s="12" t="s">
        <v>241</v>
      </c>
      <c r="K4" s="12" t="s">
        <v>237</v>
      </c>
      <c r="L4" s="12"/>
      <c r="M4" s="17" t="str">
        <f t="shared" ca="1" si="0"/>
        <v>Completed</v>
      </c>
    </row>
    <row r="5" spans="1:13">
      <c r="A5" s="16" t="s">
        <v>85</v>
      </c>
      <c r="B5" s="12" t="s">
        <v>32</v>
      </c>
      <c r="C5" s="12" t="s">
        <v>81</v>
      </c>
      <c r="D5" s="12" t="s">
        <v>86</v>
      </c>
      <c r="E5" s="12" t="s">
        <v>229</v>
      </c>
      <c r="F5" s="13">
        <v>46252</v>
      </c>
      <c r="G5" s="13">
        <v>46254</v>
      </c>
      <c r="H5" s="12" t="s">
        <v>46</v>
      </c>
      <c r="I5" s="14">
        <v>100</v>
      </c>
      <c r="J5" s="12"/>
      <c r="K5" s="12" t="s">
        <v>237</v>
      </c>
      <c r="L5" s="12"/>
      <c r="M5" s="17" t="str">
        <f t="shared" ca="1" si="0"/>
        <v>Completed</v>
      </c>
    </row>
    <row r="6" spans="1:13" ht="28.5">
      <c r="A6" s="16" t="s">
        <v>87</v>
      </c>
      <c r="B6" s="12" t="s">
        <v>32</v>
      </c>
      <c r="C6" s="12" t="s">
        <v>88</v>
      </c>
      <c r="D6" s="12" t="s">
        <v>89</v>
      </c>
      <c r="E6" s="12" t="s">
        <v>230</v>
      </c>
      <c r="F6" s="13">
        <v>46249</v>
      </c>
      <c r="G6" s="13">
        <v>46251</v>
      </c>
      <c r="H6" s="12" t="s">
        <v>46</v>
      </c>
      <c r="I6" s="14">
        <v>100</v>
      </c>
      <c r="J6" s="12" t="s">
        <v>242</v>
      </c>
      <c r="K6" s="12" t="s">
        <v>237</v>
      </c>
      <c r="L6" s="12"/>
      <c r="M6" s="17" t="str">
        <f t="shared" ca="1" si="0"/>
        <v>Completed</v>
      </c>
    </row>
    <row r="7" spans="1:13" ht="28.5">
      <c r="A7" s="16" t="s">
        <v>90</v>
      </c>
      <c r="B7" s="12" t="s">
        <v>32</v>
      </c>
      <c r="C7" s="12" t="s">
        <v>88</v>
      </c>
      <c r="D7" s="12" t="s">
        <v>91</v>
      </c>
      <c r="E7" s="12" t="s">
        <v>231</v>
      </c>
      <c r="F7" s="13">
        <v>46252</v>
      </c>
      <c r="G7" s="13">
        <v>46262</v>
      </c>
      <c r="H7" s="12" t="s">
        <v>46</v>
      </c>
      <c r="I7" s="14">
        <v>100</v>
      </c>
      <c r="J7" s="12" t="s">
        <v>243</v>
      </c>
      <c r="K7" s="12" t="s">
        <v>237</v>
      </c>
      <c r="L7" s="12"/>
      <c r="M7" s="17" t="str">
        <f t="shared" ca="1" si="0"/>
        <v>Completed</v>
      </c>
    </row>
    <row r="8" spans="1:13">
      <c r="A8" s="16" t="s">
        <v>92</v>
      </c>
      <c r="B8" s="12" t="s">
        <v>32</v>
      </c>
      <c r="C8" s="12" t="s">
        <v>93</v>
      </c>
      <c r="D8" s="12" t="s">
        <v>94</v>
      </c>
      <c r="E8" s="12" t="s">
        <v>231</v>
      </c>
      <c r="F8" s="13">
        <v>46254</v>
      </c>
      <c r="G8" s="13">
        <v>46262</v>
      </c>
      <c r="H8" s="12" t="s">
        <v>46</v>
      </c>
      <c r="I8" s="14">
        <v>100</v>
      </c>
      <c r="J8" s="12" t="s">
        <v>244</v>
      </c>
      <c r="K8" s="12" t="s">
        <v>237</v>
      </c>
      <c r="L8" s="12"/>
      <c r="M8" s="17" t="str">
        <f t="shared" ca="1" si="0"/>
        <v>Completed</v>
      </c>
    </row>
    <row r="9" spans="1:13">
      <c r="A9" s="16" t="s">
        <v>95</v>
      </c>
      <c r="B9" s="12" t="s">
        <v>32</v>
      </c>
      <c r="C9" s="12" t="s">
        <v>93</v>
      </c>
      <c r="D9" s="12" t="s">
        <v>96</v>
      </c>
      <c r="E9" s="12" t="s">
        <v>232</v>
      </c>
      <c r="F9" s="13">
        <v>46254</v>
      </c>
      <c r="G9" s="13">
        <v>46263</v>
      </c>
      <c r="H9" s="12" t="s">
        <v>46</v>
      </c>
      <c r="I9" s="14">
        <v>100</v>
      </c>
      <c r="J9" s="12" t="s">
        <v>245</v>
      </c>
      <c r="K9" s="12" t="s">
        <v>237</v>
      </c>
      <c r="L9" s="12"/>
      <c r="M9" s="17" t="str">
        <f t="shared" ca="1" si="0"/>
        <v>Completed</v>
      </c>
    </row>
    <row r="10" spans="1:13">
      <c r="A10" s="16" t="s">
        <v>97</v>
      </c>
      <c r="B10" s="12" t="s">
        <v>32</v>
      </c>
      <c r="C10" s="12" t="s">
        <v>93</v>
      </c>
      <c r="D10" s="12" t="s">
        <v>98</v>
      </c>
      <c r="E10" s="12" t="s">
        <v>232</v>
      </c>
      <c r="F10" s="13">
        <v>46254</v>
      </c>
      <c r="G10" s="13">
        <v>46263</v>
      </c>
      <c r="H10" s="12" t="s">
        <v>46</v>
      </c>
      <c r="I10" s="14">
        <v>100</v>
      </c>
      <c r="J10" s="38" t="s">
        <v>246</v>
      </c>
      <c r="K10" s="12" t="s">
        <v>237</v>
      </c>
      <c r="L10" s="12"/>
      <c r="M10" s="17" t="str">
        <f t="shared" ca="1" si="0"/>
        <v>Completed</v>
      </c>
    </row>
    <row r="11" spans="1:13" ht="16.5">
      <c r="A11" s="16" t="s">
        <v>99</v>
      </c>
      <c r="B11" s="12" t="s">
        <v>32</v>
      </c>
      <c r="C11" s="12" t="s">
        <v>93</v>
      </c>
      <c r="D11" s="12" t="s">
        <v>100</v>
      </c>
      <c r="E11" s="12" t="s">
        <v>233</v>
      </c>
      <c r="F11" s="13">
        <v>46254</v>
      </c>
      <c r="G11" s="13">
        <v>46263</v>
      </c>
      <c r="H11" s="12" t="s">
        <v>46</v>
      </c>
      <c r="I11" s="14">
        <v>100</v>
      </c>
      <c r="J11" s="36" t="s">
        <v>247</v>
      </c>
      <c r="K11" s="12" t="s">
        <v>237</v>
      </c>
      <c r="L11" s="12"/>
      <c r="M11" s="17" t="str">
        <f t="shared" ca="1" si="0"/>
        <v>Completed</v>
      </c>
    </row>
    <row r="12" spans="1:13" ht="28.5">
      <c r="A12" s="16" t="s">
        <v>101</v>
      </c>
      <c r="B12" s="12" t="s">
        <v>32</v>
      </c>
      <c r="C12" s="12" t="s">
        <v>93</v>
      </c>
      <c r="D12" s="12" t="s">
        <v>102</v>
      </c>
      <c r="E12" s="12" t="s">
        <v>232</v>
      </c>
      <c r="F12" s="13">
        <v>46258</v>
      </c>
      <c r="G12" s="13">
        <v>46263</v>
      </c>
      <c r="H12" s="12" t="s">
        <v>46</v>
      </c>
      <c r="I12" s="14">
        <v>100</v>
      </c>
      <c r="J12" s="12" t="s">
        <v>248</v>
      </c>
      <c r="K12" s="12" t="s">
        <v>237</v>
      </c>
      <c r="L12" s="12"/>
      <c r="M12" s="17" t="str">
        <f t="shared" ca="1" si="0"/>
        <v>Completed</v>
      </c>
    </row>
    <row r="13" spans="1:13">
      <c r="A13" s="16" t="s">
        <v>103</v>
      </c>
      <c r="B13" s="12" t="s">
        <v>32</v>
      </c>
      <c r="C13" s="12" t="s">
        <v>93</v>
      </c>
      <c r="D13" s="12" t="s">
        <v>104</v>
      </c>
      <c r="E13" s="12" t="s">
        <v>231</v>
      </c>
      <c r="F13" s="13">
        <v>46258</v>
      </c>
      <c r="G13" s="13">
        <v>46263</v>
      </c>
      <c r="H13" s="12" t="s">
        <v>46</v>
      </c>
      <c r="I13" s="14">
        <v>100</v>
      </c>
      <c r="J13" s="12" t="s">
        <v>249</v>
      </c>
      <c r="K13" s="12" t="s">
        <v>237</v>
      </c>
      <c r="L13" s="12"/>
      <c r="M13" s="17" t="str">
        <f t="shared" ca="1" si="0"/>
        <v>Completed</v>
      </c>
    </row>
    <row r="14" spans="1:13" ht="16.5">
      <c r="A14" s="16" t="s">
        <v>178</v>
      </c>
      <c r="B14" s="12" t="s">
        <v>187</v>
      </c>
      <c r="C14" s="12" t="s">
        <v>188</v>
      </c>
      <c r="D14" s="36" t="s">
        <v>189</v>
      </c>
      <c r="E14" s="12" t="s">
        <v>233</v>
      </c>
      <c r="F14" s="13">
        <v>46259</v>
      </c>
      <c r="G14" s="13">
        <v>46263</v>
      </c>
      <c r="H14" s="12" t="s">
        <v>46</v>
      </c>
      <c r="I14" s="14">
        <v>100</v>
      </c>
      <c r="J14" s="12" t="s">
        <v>250</v>
      </c>
      <c r="K14" s="12" t="s">
        <v>237</v>
      </c>
      <c r="L14" s="12"/>
      <c r="M14" s="17" t="str">
        <f t="shared" ca="1" si="0"/>
        <v>Completed</v>
      </c>
    </row>
    <row r="15" spans="1:13" ht="16.5">
      <c r="A15" s="16" t="s">
        <v>179</v>
      </c>
      <c r="B15" s="12" t="s">
        <v>187</v>
      </c>
      <c r="C15" s="12" t="s">
        <v>188</v>
      </c>
      <c r="D15" s="36" t="s">
        <v>224</v>
      </c>
      <c r="E15" s="12" t="s">
        <v>234</v>
      </c>
      <c r="F15" s="13">
        <v>46259</v>
      </c>
      <c r="G15" s="13">
        <v>46264</v>
      </c>
      <c r="H15" s="12" t="s">
        <v>46</v>
      </c>
      <c r="I15" s="14">
        <v>100</v>
      </c>
      <c r="J15" s="12" t="s">
        <v>250</v>
      </c>
      <c r="K15" s="12" t="s">
        <v>237</v>
      </c>
      <c r="L15" s="12"/>
      <c r="M15" s="17" t="str">
        <f t="shared" ca="1" si="0"/>
        <v>Completed</v>
      </c>
    </row>
    <row r="16" spans="1:13" ht="16.5">
      <c r="A16" s="16" t="s">
        <v>180</v>
      </c>
      <c r="B16" s="12" t="s">
        <v>187</v>
      </c>
      <c r="C16" s="12" t="s">
        <v>188</v>
      </c>
      <c r="D16" s="36" t="s">
        <v>225</v>
      </c>
      <c r="E16" s="12" t="s">
        <v>231</v>
      </c>
      <c r="F16" s="13">
        <v>46259</v>
      </c>
      <c r="G16" s="13">
        <v>46264</v>
      </c>
      <c r="H16" s="12" t="s">
        <v>46</v>
      </c>
      <c r="I16" s="14">
        <v>100</v>
      </c>
      <c r="J16" s="12" t="s">
        <v>250</v>
      </c>
      <c r="K16" s="12" t="s">
        <v>237</v>
      </c>
      <c r="L16" s="12"/>
      <c r="M16" s="17" t="str">
        <f t="shared" ca="1" si="0"/>
        <v>Completed</v>
      </c>
    </row>
    <row r="17" spans="1:13" ht="16.5">
      <c r="A17" s="16" t="s">
        <v>181</v>
      </c>
      <c r="B17" s="12" t="s">
        <v>187</v>
      </c>
      <c r="C17" s="12" t="s">
        <v>188</v>
      </c>
      <c r="D17" s="36" t="s">
        <v>226</v>
      </c>
      <c r="E17" s="12" t="s">
        <v>232</v>
      </c>
      <c r="F17" s="13">
        <v>46259</v>
      </c>
      <c r="G17" s="13">
        <v>46265</v>
      </c>
      <c r="H17" s="12" t="s">
        <v>46</v>
      </c>
      <c r="I17" s="14">
        <v>100</v>
      </c>
      <c r="J17" s="12" t="s">
        <v>250</v>
      </c>
      <c r="K17" s="12" t="s">
        <v>237</v>
      </c>
      <c r="L17" s="12"/>
      <c r="M17" s="17" t="str">
        <f t="shared" ca="1" si="0"/>
        <v>Completed</v>
      </c>
    </row>
    <row r="18" spans="1:13" ht="16.5">
      <c r="A18" s="16" t="s">
        <v>182</v>
      </c>
      <c r="B18" s="12" t="s">
        <v>187</v>
      </c>
      <c r="C18" s="12" t="s">
        <v>188</v>
      </c>
      <c r="D18" s="36" t="s">
        <v>227</v>
      </c>
      <c r="E18" s="12" t="s">
        <v>229</v>
      </c>
      <c r="F18" s="13">
        <v>46259</v>
      </c>
      <c r="G18" s="13">
        <v>46265</v>
      </c>
      <c r="H18" s="12" t="s">
        <v>46</v>
      </c>
      <c r="I18" s="14">
        <v>100</v>
      </c>
      <c r="J18" s="12" t="s">
        <v>250</v>
      </c>
      <c r="K18" s="12" t="s">
        <v>237</v>
      </c>
      <c r="L18" s="12"/>
      <c r="M18" s="17" t="str">
        <f t="shared" ca="1" si="0"/>
        <v>Completed</v>
      </c>
    </row>
    <row r="19" spans="1:13" ht="16.5">
      <c r="A19" s="16" t="s">
        <v>183</v>
      </c>
      <c r="B19" s="12" t="s">
        <v>187</v>
      </c>
      <c r="C19" s="12" t="s">
        <v>188</v>
      </c>
      <c r="D19" s="36" t="s">
        <v>228</v>
      </c>
      <c r="E19" s="12" t="s">
        <v>235</v>
      </c>
      <c r="F19" s="13">
        <v>46259</v>
      </c>
      <c r="G19" s="13">
        <v>46265</v>
      </c>
      <c r="H19" s="12" t="s">
        <v>46</v>
      </c>
      <c r="I19" s="14">
        <v>100</v>
      </c>
      <c r="J19" s="12" t="s">
        <v>250</v>
      </c>
      <c r="K19" s="12" t="s">
        <v>237</v>
      </c>
      <c r="L19" s="12"/>
      <c r="M19" s="17" t="str">
        <f t="shared" ca="1" si="0"/>
        <v>Completed</v>
      </c>
    </row>
    <row r="20" spans="1:13">
      <c r="A20" s="16" t="s">
        <v>184</v>
      </c>
      <c r="B20" s="12" t="s">
        <v>187</v>
      </c>
      <c r="C20" s="12" t="s">
        <v>205</v>
      </c>
      <c r="D20" s="12" t="s">
        <v>207</v>
      </c>
      <c r="E20" s="12" t="s">
        <v>231</v>
      </c>
      <c r="F20" s="13">
        <v>46262</v>
      </c>
      <c r="G20" s="13">
        <v>46265</v>
      </c>
      <c r="H20" s="12" t="s">
        <v>46</v>
      </c>
      <c r="I20" s="14">
        <v>100</v>
      </c>
      <c r="J20" s="12" t="s">
        <v>250</v>
      </c>
      <c r="K20" s="12" t="s">
        <v>237</v>
      </c>
      <c r="L20" s="12"/>
      <c r="M20" s="17" t="str">
        <f t="shared" ca="1" si="0"/>
        <v>Completed</v>
      </c>
    </row>
    <row r="21" spans="1:13" ht="16.5">
      <c r="A21" s="16" t="s">
        <v>185</v>
      </c>
      <c r="B21" s="12" t="s">
        <v>187</v>
      </c>
      <c r="C21" s="12" t="s">
        <v>205</v>
      </c>
      <c r="D21" s="36" t="s">
        <v>208</v>
      </c>
      <c r="E21" s="12" t="s">
        <v>231</v>
      </c>
      <c r="F21" s="13">
        <v>46260</v>
      </c>
      <c r="G21" s="13">
        <v>46265</v>
      </c>
      <c r="H21" s="12" t="s">
        <v>46</v>
      </c>
      <c r="I21" s="14">
        <v>100</v>
      </c>
      <c r="J21" s="12" t="s">
        <v>250</v>
      </c>
      <c r="K21" s="12" t="s">
        <v>237</v>
      </c>
      <c r="L21" s="12"/>
      <c r="M21" s="17" t="str">
        <f t="shared" ca="1" si="0"/>
        <v>Completed</v>
      </c>
    </row>
    <row r="22" spans="1:13" ht="28.5">
      <c r="A22" s="16" t="s">
        <v>186</v>
      </c>
      <c r="B22" s="12" t="s">
        <v>187</v>
      </c>
      <c r="C22" s="12" t="s">
        <v>205</v>
      </c>
      <c r="D22" s="12" t="s">
        <v>239</v>
      </c>
      <c r="E22" s="12" t="s">
        <v>231</v>
      </c>
      <c r="F22" s="13">
        <v>46260</v>
      </c>
      <c r="G22" s="13">
        <v>46265</v>
      </c>
      <c r="H22" s="12" t="s">
        <v>46</v>
      </c>
      <c r="I22" s="14">
        <v>100</v>
      </c>
      <c r="J22" s="12" t="s">
        <v>251</v>
      </c>
      <c r="K22" s="12" t="s">
        <v>237</v>
      </c>
      <c r="L22" s="12"/>
      <c r="M22" s="17" t="str">
        <f t="shared" ca="1" si="0"/>
        <v>Completed</v>
      </c>
    </row>
    <row r="23" spans="1:13" ht="28.5">
      <c r="A23" s="16" t="s">
        <v>190</v>
      </c>
      <c r="B23" s="12" t="s">
        <v>187</v>
      </c>
      <c r="C23" s="12" t="s">
        <v>205</v>
      </c>
      <c r="D23" s="12" t="s">
        <v>209</v>
      </c>
      <c r="E23" s="12" t="s">
        <v>231</v>
      </c>
      <c r="F23" s="13">
        <v>46260</v>
      </c>
      <c r="G23" s="13">
        <v>46265</v>
      </c>
      <c r="H23" s="12" t="s">
        <v>46</v>
      </c>
      <c r="I23" s="14">
        <v>100</v>
      </c>
      <c r="J23" s="12" t="s">
        <v>252</v>
      </c>
      <c r="K23" s="12" t="s">
        <v>237</v>
      </c>
      <c r="L23" s="12"/>
      <c r="M23" s="17" t="str">
        <f ca="1">IF(D23="","",IF(H23="Completed","Completed",IF(H23="Blocked","Blocked",IF(H23="Delayed","Delayed",IF(AND(G23&lt;&gt;"",G23&lt;TODAY(),H23&lt;&gt;"Completed"),"Overdue","On Track")))))</f>
        <v>Completed</v>
      </c>
    </row>
    <row r="24" spans="1:13">
      <c r="A24" s="16" t="s">
        <v>191</v>
      </c>
      <c r="B24" s="12" t="s">
        <v>187</v>
      </c>
      <c r="C24" s="12" t="s">
        <v>205</v>
      </c>
      <c r="D24" s="12" t="s">
        <v>210</v>
      </c>
      <c r="E24" s="12" t="s">
        <v>236</v>
      </c>
      <c r="F24" s="13">
        <v>46262</v>
      </c>
      <c r="G24" s="13">
        <v>46265</v>
      </c>
      <c r="H24" s="12" t="s">
        <v>46</v>
      </c>
      <c r="I24" s="14">
        <v>100</v>
      </c>
      <c r="J24" s="12" t="s">
        <v>253</v>
      </c>
      <c r="K24" s="12" t="s">
        <v>237</v>
      </c>
      <c r="L24" s="12"/>
      <c r="M24" s="17" t="str">
        <f ca="1">IF(D24="","",IF(H24="Completed","Completed",IF(H24="Blocked","Blocked",IF(H24="Delayed","Delayed",IF(AND(G24&lt;&gt;"",G24&lt;TODAY(),H24&lt;&gt;"Completed"),"Overdue","On Track")))))</f>
        <v>Completed</v>
      </c>
    </row>
    <row r="25" spans="1:13" ht="28.5">
      <c r="A25" s="16" t="s">
        <v>192</v>
      </c>
      <c r="B25" s="12" t="s">
        <v>187</v>
      </c>
      <c r="C25" s="12" t="s">
        <v>205</v>
      </c>
      <c r="D25" s="12" t="s">
        <v>211</v>
      </c>
      <c r="E25" s="12" t="s">
        <v>231</v>
      </c>
      <c r="F25" s="13">
        <v>46263</v>
      </c>
      <c r="G25" s="13">
        <v>46265</v>
      </c>
      <c r="H25" s="12" t="s">
        <v>46</v>
      </c>
      <c r="I25" s="14">
        <v>100</v>
      </c>
      <c r="J25" s="12" t="s">
        <v>254</v>
      </c>
      <c r="K25" s="12" t="s">
        <v>237</v>
      </c>
      <c r="L25" s="12"/>
      <c r="M25" s="17" t="str">
        <f t="shared" ca="1" si="0"/>
        <v>Completed</v>
      </c>
    </row>
    <row r="26" spans="1:13">
      <c r="A26" s="16" t="s">
        <v>193</v>
      </c>
      <c r="B26" s="12" t="s">
        <v>187</v>
      </c>
      <c r="C26" s="12" t="s">
        <v>206</v>
      </c>
      <c r="D26" s="12" t="s">
        <v>212</v>
      </c>
      <c r="E26" s="12" t="s">
        <v>231</v>
      </c>
      <c r="F26" s="13">
        <v>46263</v>
      </c>
      <c r="G26" s="13">
        <v>46265</v>
      </c>
      <c r="H26" s="12" t="s">
        <v>46</v>
      </c>
      <c r="I26" s="14">
        <v>100</v>
      </c>
      <c r="J26" s="12" t="s">
        <v>250</v>
      </c>
      <c r="K26" s="12" t="s">
        <v>237</v>
      </c>
      <c r="L26" s="12"/>
      <c r="M26" s="17" t="str">
        <f t="shared" ca="1" si="0"/>
        <v>Completed</v>
      </c>
    </row>
    <row r="27" spans="1:13">
      <c r="A27" s="16" t="s">
        <v>194</v>
      </c>
      <c r="B27" s="12" t="s">
        <v>187</v>
      </c>
      <c r="C27" s="12" t="s">
        <v>206</v>
      </c>
      <c r="D27" s="12" t="s">
        <v>213</v>
      </c>
      <c r="E27" s="12" t="s">
        <v>229</v>
      </c>
      <c r="F27" s="13">
        <v>46263</v>
      </c>
      <c r="G27" s="13">
        <v>46265</v>
      </c>
      <c r="H27" s="12" t="s">
        <v>46</v>
      </c>
      <c r="I27" s="14">
        <v>100</v>
      </c>
      <c r="J27" s="12" t="s">
        <v>250</v>
      </c>
      <c r="K27" s="12" t="s">
        <v>237</v>
      </c>
      <c r="L27" s="12"/>
      <c r="M27" s="17" t="str">
        <f t="shared" ca="1" si="0"/>
        <v>Completed</v>
      </c>
    </row>
    <row r="28" spans="1:13">
      <c r="A28" s="16" t="s">
        <v>195</v>
      </c>
      <c r="B28" s="12" t="s">
        <v>187</v>
      </c>
      <c r="C28" s="12" t="s">
        <v>206</v>
      </c>
      <c r="D28" s="12" t="s">
        <v>214</v>
      </c>
      <c r="E28" s="12" t="s">
        <v>229</v>
      </c>
      <c r="F28" s="13">
        <v>46263</v>
      </c>
      <c r="G28" s="13">
        <v>46265</v>
      </c>
      <c r="H28" s="12" t="s">
        <v>46</v>
      </c>
      <c r="I28" s="14">
        <v>100</v>
      </c>
      <c r="J28" s="12" t="s">
        <v>255</v>
      </c>
      <c r="K28" s="12" t="s">
        <v>237</v>
      </c>
      <c r="L28" s="12"/>
      <c r="M28" s="17" t="str">
        <f t="shared" ca="1" si="0"/>
        <v>Completed</v>
      </c>
    </row>
    <row r="29" spans="1:13">
      <c r="A29" s="16" t="s">
        <v>196</v>
      </c>
      <c r="B29" s="12" t="s">
        <v>187</v>
      </c>
      <c r="C29" s="12" t="s">
        <v>206</v>
      </c>
      <c r="D29" s="12" t="s">
        <v>215</v>
      </c>
      <c r="E29" s="12" t="s">
        <v>229</v>
      </c>
      <c r="F29" s="13">
        <v>46263</v>
      </c>
      <c r="G29" s="13">
        <v>46265</v>
      </c>
      <c r="H29" s="12" t="s">
        <v>46</v>
      </c>
      <c r="I29" s="14">
        <v>100</v>
      </c>
      <c r="J29" s="12" t="s">
        <v>250</v>
      </c>
      <c r="K29" s="12" t="s">
        <v>237</v>
      </c>
      <c r="L29" s="12"/>
      <c r="M29" s="17" t="str">
        <f t="shared" ca="1" si="0"/>
        <v>Completed</v>
      </c>
    </row>
    <row r="30" spans="1:13" ht="42.75">
      <c r="A30" s="16" t="s">
        <v>197</v>
      </c>
      <c r="B30" s="12" t="s">
        <v>187</v>
      </c>
      <c r="C30" s="12" t="s">
        <v>206</v>
      </c>
      <c r="D30" s="12" t="s">
        <v>216</v>
      </c>
      <c r="E30" s="12" t="s">
        <v>233</v>
      </c>
      <c r="F30" s="13">
        <v>46263</v>
      </c>
      <c r="G30" s="13">
        <v>46265</v>
      </c>
      <c r="H30" s="12" t="s">
        <v>46</v>
      </c>
      <c r="I30" s="14">
        <v>100</v>
      </c>
      <c r="J30" s="12" t="s">
        <v>256</v>
      </c>
      <c r="K30" s="12" t="s">
        <v>237</v>
      </c>
      <c r="L30" s="12"/>
      <c r="M30" s="17" t="str">
        <f t="shared" ca="1" si="0"/>
        <v>Completed</v>
      </c>
    </row>
    <row r="31" spans="1:13">
      <c r="A31" s="16" t="s">
        <v>198</v>
      </c>
      <c r="B31" s="12" t="s">
        <v>187</v>
      </c>
      <c r="C31" s="12" t="s">
        <v>206</v>
      </c>
      <c r="D31" s="12" t="s">
        <v>217</v>
      </c>
      <c r="E31" s="12" t="s">
        <v>231</v>
      </c>
      <c r="F31" s="13">
        <v>46263</v>
      </c>
      <c r="G31" s="13">
        <v>46265</v>
      </c>
      <c r="H31" s="12" t="s">
        <v>46</v>
      </c>
      <c r="I31" s="14">
        <v>100</v>
      </c>
      <c r="J31" s="12" t="s">
        <v>257</v>
      </c>
      <c r="K31" s="12" t="s">
        <v>237</v>
      </c>
      <c r="L31" s="12"/>
      <c r="M31" s="17" t="str">
        <f t="shared" ca="1" si="0"/>
        <v>Completed</v>
      </c>
    </row>
    <row r="32" spans="1:13">
      <c r="A32" s="16" t="s">
        <v>199</v>
      </c>
      <c r="B32" s="12" t="s">
        <v>187</v>
      </c>
      <c r="C32" s="12" t="s">
        <v>206</v>
      </c>
      <c r="D32" s="12" t="s">
        <v>218</v>
      </c>
      <c r="E32" s="12" t="s">
        <v>232</v>
      </c>
      <c r="F32" s="13">
        <v>46263</v>
      </c>
      <c r="G32" s="13">
        <v>46265</v>
      </c>
      <c r="H32" s="12" t="s">
        <v>46</v>
      </c>
      <c r="I32" s="14">
        <v>100</v>
      </c>
      <c r="J32" s="12" t="s">
        <v>245</v>
      </c>
      <c r="K32" s="12" t="s">
        <v>237</v>
      </c>
      <c r="L32" s="12"/>
      <c r="M32" s="17" t="str">
        <f t="shared" ca="1" si="0"/>
        <v>Completed</v>
      </c>
    </row>
    <row r="33" spans="1:13">
      <c r="A33" s="16" t="s">
        <v>200</v>
      </c>
      <c r="B33" s="12" t="s">
        <v>187</v>
      </c>
      <c r="C33" s="12" t="s">
        <v>206</v>
      </c>
      <c r="D33" s="12" t="s">
        <v>219</v>
      </c>
      <c r="E33" s="12" t="s">
        <v>232</v>
      </c>
      <c r="F33" s="13">
        <v>46264</v>
      </c>
      <c r="G33" s="13">
        <v>46267</v>
      </c>
      <c r="H33" s="12" t="s">
        <v>46</v>
      </c>
      <c r="I33" s="14">
        <v>100</v>
      </c>
      <c r="J33" s="38" t="s">
        <v>246</v>
      </c>
      <c r="K33" s="12" t="s">
        <v>237</v>
      </c>
      <c r="L33" s="12"/>
      <c r="M33" s="17" t="str">
        <f t="shared" ca="1" si="0"/>
        <v>Completed</v>
      </c>
    </row>
    <row r="34" spans="1:13">
      <c r="A34" s="16" t="s">
        <v>201</v>
      </c>
      <c r="B34" s="12" t="s">
        <v>187</v>
      </c>
      <c r="C34" s="12" t="s">
        <v>206</v>
      </c>
      <c r="D34" s="12" t="s">
        <v>220</v>
      </c>
      <c r="E34" s="12" t="s">
        <v>232</v>
      </c>
      <c r="F34" s="13">
        <v>46265</v>
      </c>
      <c r="G34" s="13">
        <v>46265</v>
      </c>
      <c r="H34" s="12" t="s">
        <v>46</v>
      </c>
      <c r="I34" s="14">
        <v>100</v>
      </c>
      <c r="J34" s="12" t="s">
        <v>248</v>
      </c>
      <c r="K34" s="12" t="s">
        <v>237</v>
      </c>
      <c r="L34" s="12"/>
      <c r="M34" s="17" t="str">
        <f t="shared" ca="1" si="0"/>
        <v>Completed</v>
      </c>
    </row>
    <row r="35" spans="1:13">
      <c r="A35" s="16" t="s">
        <v>202</v>
      </c>
      <c r="B35" s="12" t="s">
        <v>187</v>
      </c>
      <c r="C35" s="12" t="s">
        <v>206</v>
      </c>
      <c r="D35" s="12" t="s">
        <v>221</v>
      </c>
      <c r="E35" s="12" t="s">
        <v>174</v>
      </c>
      <c r="F35" s="13">
        <v>46262</v>
      </c>
      <c r="G35" s="13">
        <v>46267</v>
      </c>
      <c r="H35" s="12" t="s">
        <v>48</v>
      </c>
      <c r="I35" s="14">
        <v>25</v>
      </c>
      <c r="J35" s="12" t="s">
        <v>258</v>
      </c>
      <c r="K35" s="12" t="s">
        <v>237</v>
      </c>
      <c r="L35" s="12"/>
      <c r="M35" s="17" t="str">
        <f t="shared" ref="M35:M66" ca="1" si="1">IF(D35="","",IF(H35="Completed","Completed",IF(H35="Blocked","Blocked",IF(H35="Delayed","Delayed",IF(AND(G35&lt;&gt;"",G35&lt;TODAY(),H35&lt;&gt;"Completed"),"Overdue","On Track")))))</f>
        <v>On Track</v>
      </c>
    </row>
    <row r="36" spans="1:13">
      <c r="A36" s="16" t="s">
        <v>203</v>
      </c>
      <c r="B36" s="12" t="s">
        <v>187</v>
      </c>
      <c r="C36" s="12" t="s">
        <v>206</v>
      </c>
      <c r="D36" s="12" t="s">
        <v>222</v>
      </c>
      <c r="E36" s="12" t="s">
        <v>231</v>
      </c>
      <c r="F36" s="13">
        <v>46264</v>
      </c>
      <c r="G36" s="13">
        <v>46265</v>
      </c>
      <c r="H36" s="12" t="s">
        <v>46</v>
      </c>
      <c r="I36" s="14">
        <v>100</v>
      </c>
      <c r="J36" s="12" t="s">
        <v>248</v>
      </c>
      <c r="K36" s="12" t="s">
        <v>237</v>
      </c>
      <c r="L36" s="12"/>
      <c r="M36" s="17" t="str">
        <f t="shared" ca="1" si="1"/>
        <v>Completed</v>
      </c>
    </row>
    <row r="37" spans="1:13" ht="16.5">
      <c r="A37" s="16" t="s">
        <v>204</v>
      </c>
      <c r="B37" s="12" t="s">
        <v>187</v>
      </c>
      <c r="C37" s="12"/>
      <c r="D37" s="12" t="s">
        <v>223</v>
      </c>
      <c r="E37" s="12" t="s">
        <v>231</v>
      </c>
      <c r="F37" s="13">
        <v>46264</v>
      </c>
      <c r="G37" s="13">
        <v>46265</v>
      </c>
      <c r="H37" s="12" t="s">
        <v>46</v>
      </c>
      <c r="I37" s="14">
        <v>100</v>
      </c>
      <c r="J37" s="36" t="s">
        <v>238</v>
      </c>
      <c r="K37" s="12" t="s">
        <v>237</v>
      </c>
      <c r="L37" s="12"/>
      <c r="M37" s="17" t="str">
        <f t="shared" ca="1" si="1"/>
        <v>Completed</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ref="M67:M101" ca="1" si="2">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8"/>
      <c r="B101" s="19"/>
      <c r="C101" s="19"/>
      <c r="D101" s="19"/>
      <c r="E101" s="19"/>
      <c r="F101" s="20"/>
      <c r="G101" s="20"/>
      <c r="H101" s="19"/>
      <c r="I101" s="21"/>
      <c r="J101" s="19"/>
      <c r="K101" s="19"/>
      <c r="L101" s="19"/>
      <c r="M101" s="22" t="str">
        <f t="shared" ca="1" si="2"/>
        <v/>
      </c>
    </row>
  </sheetData>
  <mergeCells count="1">
    <mergeCell ref="A1:M1"/>
  </mergeCells>
  <phoneticPr fontId="8" type="noConversion"/>
  <conditionalFormatting sqref="H3:H101">
    <cfRule type="expression" dxfId="11" priority="2">
      <formula>H3="Completed"</formula>
    </cfRule>
    <cfRule type="expression" dxfId="10" priority="3">
      <formula>H3="In Progress"</formula>
    </cfRule>
    <cfRule type="expression" dxfId="9" priority="4">
      <formula>H3="Delayed"</formula>
    </cfRule>
    <cfRule type="expression" dxfId="8" priority="5">
      <formula>H3="Blocked"</formula>
    </cfRule>
  </conditionalFormatting>
  <conditionalFormatting sqref="I3:I101">
    <cfRule type="dataBar" priority="7">
      <dataBar>
        <cfvo type="min"/>
        <cfvo type="max"/>
        <color rgb="FF1F5A94"/>
      </dataBar>
    </cfRule>
    <cfRule type="dataBar" priority="8">
      <dataBar>
        <cfvo type="min"/>
        <cfvo type="max"/>
        <color rgb="FF1F5A94"/>
      </dataBar>
      <extLst>
        <ext xmlns:x14="http://schemas.microsoft.com/office/spreadsheetml/2009/9/main" uri="{B025F937-C7B1-47D3-B67F-A62EFF666E3E}">
          <x14:id>{47F2417F-5A51-25CB-3D69-48DA80333B65}</x14:id>
        </ext>
      </extLst>
    </cfRule>
  </conditionalFormatting>
  <conditionalFormatting sqref="M3:M101">
    <cfRule type="expression" dxfId="7" priority="6">
      <formula>M3="Overdue"</formula>
    </cfRule>
  </conditionalFormatting>
  <conditionalFormatting sqref="B3:M101">
    <cfRule type="iconSet" priority="1">
      <iconSet iconSet="3Arrows">
        <cfvo type="percent" val="0"/>
        <cfvo type="percent" val="33"/>
        <cfvo type="percent" val="67"/>
      </iconSet>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hyperlinks>
    <hyperlink ref="J10" r:id="rId1" xr:uid="{C67B97EC-AEF0-4142-94C4-77593138A106}"/>
    <hyperlink ref="J33" r:id="rId2" xr:uid="{0AB422F3-14E1-41F3-BB81-D3D1BF810BAD}"/>
  </hyperlinks>
  <pageMargins left="0.7" right="0.7" top="0.75" bottom="0.75" header="0.3" footer="0.3"/>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47F2417F-5A51-25CB-3D69-48DA80333B65}">
            <x14:dataBar>
              <x14:cfvo type="min"/>
              <x14:cfvo type="max"/>
              <x14:negativeFillColor auto="1"/>
              <x14:axisColor auto="1"/>
            </x14:dataBar>
          </x14:cfRule>
          <xm:sqref>I3:I101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topLeftCell="A39" workbookViewId="0">
      <selection activeCell="A33" sqref="A33"/>
    </sheetView>
  </sheetViews>
  <sheetFormatPr defaultRowHeight="14.25"/>
  <cols>
    <col min="1" max="1" width="24" customWidth="1"/>
    <col min="2" max="2" width="16" customWidth="1"/>
    <col min="3" max="3" width="19" customWidth="1"/>
    <col min="4" max="4" width="28.125" customWidth="1"/>
    <col min="5" max="5" width="59.625"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30" customHeight="1">
      <c r="A1" s="27" t="s">
        <v>105</v>
      </c>
      <c r="B1" s="27"/>
      <c r="C1" s="27"/>
      <c r="D1" s="27"/>
      <c r="E1" s="27"/>
      <c r="F1" s="27"/>
      <c r="G1" s="27"/>
      <c r="H1" s="27"/>
      <c r="I1" s="27"/>
      <c r="J1" s="27"/>
      <c r="K1" s="27"/>
      <c r="L1" s="27"/>
    </row>
    <row r="2" spans="1:12" ht="29.25" customHeight="1">
      <c r="A2" s="35" t="s">
        <v>106</v>
      </c>
      <c r="B2" s="35" t="s">
        <v>107</v>
      </c>
      <c r="C2" s="35" t="s">
        <v>69</v>
      </c>
      <c r="D2" s="35" t="s">
        <v>70</v>
      </c>
      <c r="E2" s="35" t="s">
        <v>108</v>
      </c>
      <c r="F2" s="35" t="s">
        <v>109</v>
      </c>
      <c r="G2" s="35" t="s">
        <v>110</v>
      </c>
      <c r="H2" s="35" t="s">
        <v>111</v>
      </c>
      <c r="I2" s="35" t="s">
        <v>76</v>
      </c>
      <c r="J2" s="35" t="s">
        <v>77</v>
      </c>
      <c r="K2" s="35" t="s">
        <v>112</v>
      </c>
      <c r="L2" s="35" t="s">
        <v>113</v>
      </c>
    </row>
    <row r="3" spans="1:12" ht="31.5" customHeight="1">
      <c r="A3" s="19" t="s">
        <v>174</v>
      </c>
      <c r="B3" s="12">
        <v>221050663</v>
      </c>
      <c r="C3" s="12" t="s">
        <v>32</v>
      </c>
      <c r="D3" s="36" t="s">
        <v>81</v>
      </c>
      <c r="E3" s="36" t="s">
        <v>262</v>
      </c>
      <c r="F3" s="36" t="s">
        <v>270</v>
      </c>
      <c r="G3" s="39">
        <v>46252</v>
      </c>
      <c r="H3" s="23">
        <v>3</v>
      </c>
      <c r="I3" s="12" t="s">
        <v>278</v>
      </c>
      <c r="J3" s="12" t="s">
        <v>237</v>
      </c>
      <c r="K3" s="13" t="s">
        <v>259</v>
      </c>
      <c r="L3" s="19"/>
    </row>
    <row r="4" spans="1:12" ht="42.75">
      <c r="A4" s="19"/>
      <c r="B4" s="12"/>
      <c r="C4" s="12" t="s">
        <v>32</v>
      </c>
      <c r="D4" s="36" t="s">
        <v>88</v>
      </c>
      <c r="E4" s="36" t="s">
        <v>263</v>
      </c>
      <c r="F4" s="12" t="s">
        <v>271</v>
      </c>
      <c r="G4" s="39">
        <v>46252</v>
      </c>
      <c r="H4" s="23">
        <v>4</v>
      </c>
      <c r="I4" s="36" t="s">
        <v>279</v>
      </c>
      <c r="J4" s="12" t="s">
        <v>237</v>
      </c>
      <c r="K4" s="13" t="s">
        <v>259</v>
      </c>
      <c r="L4" s="19"/>
    </row>
    <row r="5" spans="1:12" ht="16.5">
      <c r="A5" s="19"/>
      <c r="B5" s="12"/>
      <c r="C5" s="12" t="s">
        <v>32</v>
      </c>
      <c r="D5" s="36" t="s">
        <v>93</v>
      </c>
      <c r="E5" s="36" t="s">
        <v>264</v>
      </c>
      <c r="F5" s="36" t="s">
        <v>272</v>
      </c>
      <c r="G5" s="39">
        <v>46259</v>
      </c>
      <c r="H5" s="23">
        <v>6</v>
      </c>
      <c r="I5" s="36" t="s">
        <v>280</v>
      </c>
      <c r="J5" s="12" t="s">
        <v>237</v>
      </c>
      <c r="K5" s="13" t="s">
        <v>259</v>
      </c>
      <c r="L5" s="19"/>
    </row>
    <row r="6" spans="1:12" ht="57">
      <c r="A6" s="19"/>
      <c r="B6" s="12"/>
      <c r="C6" s="12" t="s">
        <v>187</v>
      </c>
      <c r="D6" s="36" t="s">
        <v>188</v>
      </c>
      <c r="E6" s="36" t="s">
        <v>265</v>
      </c>
      <c r="F6" s="12" t="s">
        <v>273</v>
      </c>
      <c r="G6" s="39">
        <v>46262</v>
      </c>
      <c r="H6" s="23">
        <v>2</v>
      </c>
      <c r="I6" s="40" t="s">
        <v>281</v>
      </c>
      <c r="J6" s="12" t="s">
        <v>237</v>
      </c>
      <c r="K6" s="13" t="s">
        <v>285</v>
      </c>
      <c r="L6" s="19"/>
    </row>
    <row r="7" spans="1:12" ht="16.5">
      <c r="A7" s="19"/>
      <c r="B7" s="12"/>
      <c r="C7" s="12" t="s">
        <v>187</v>
      </c>
      <c r="D7" s="36" t="s">
        <v>205</v>
      </c>
      <c r="E7" s="36" t="s">
        <v>269</v>
      </c>
      <c r="F7" s="36" t="s">
        <v>274</v>
      </c>
      <c r="G7" s="39">
        <v>46263</v>
      </c>
      <c r="H7" s="23">
        <v>3</v>
      </c>
      <c r="I7" s="36" t="s">
        <v>282</v>
      </c>
      <c r="J7" s="12" t="s">
        <v>237</v>
      </c>
      <c r="K7" s="13" t="s">
        <v>287</v>
      </c>
      <c r="L7" s="19"/>
    </row>
    <row r="8" spans="1:12" ht="42.75">
      <c r="A8" s="19"/>
      <c r="B8" s="12"/>
      <c r="C8" s="12" t="s">
        <v>187</v>
      </c>
      <c r="D8" s="12" t="s">
        <v>205</v>
      </c>
      <c r="E8" s="36" t="s">
        <v>268</v>
      </c>
      <c r="F8" s="12" t="s">
        <v>275</v>
      </c>
      <c r="G8" s="13">
        <v>46265</v>
      </c>
      <c r="H8" s="23">
        <v>2</v>
      </c>
      <c r="I8" s="12" t="s">
        <v>283</v>
      </c>
      <c r="J8" s="12" t="s">
        <v>237</v>
      </c>
      <c r="K8" s="13" t="s">
        <v>286</v>
      </c>
      <c r="L8" s="19"/>
    </row>
    <row r="9" spans="1:12" ht="42.75">
      <c r="A9" s="19"/>
      <c r="B9" s="12"/>
      <c r="C9" s="12" t="s">
        <v>187</v>
      </c>
      <c r="D9" s="12" t="s">
        <v>266</v>
      </c>
      <c r="E9" s="12" t="s">
        <v>267</v>
      </c>
      <c r="F9" s="12" t="s">
        <v>276</v>
      </c>
      <c r="G9" s="13" t="s">
        <v>277</v>
      </c>
      <c r="H9" s="23">
        <v>4</v>
      </c>
      <c r="I9" s="12" t="s">
        <v>284</v>
      </c>
      <c r="J9" s="12" t="s">
        <v>237</v>
      </c>
      <c r="K9" s="13" t="s">
        <v>286</v>
      </c>
      <c r="L9" s="19" t="s">
        <v>288</v>
      </c>
    </row>
    <row r="10" spans="1:12" ht="16.5">
      <c r="A10" s="19" t="s">
        <v>289</v>
      </c>
      <c r="B10" s="12">
        <v>223007074</v>
      </c>
      <c r="C10" s="12" t="s">
        <v>32</v>
      </c>
      <c r="D10" s="12" t="s">
        <v>81</v>
      </c>
      <c r="E10" s="12" t="s">
        <v>290</v>
      </c>
      <c r="F10" s="36" t="s">
        <v>299</v>
      </c>
      <c r="G10" s="13">
        <v>46254</v>
      </c>
      <c r="H10" s="23">
        <v>4</v>
      </c>
      <c r="I10" s="12" t="s">
        <v>311</v>
      </c>
      <c r="J10" s="12" t="s">
        <v>237</v>
      </c>
      <c r="K10" s="13" t="s">
        <v>261</v>
      </c>
      <c r="L10" s="19"/>
    </row>
    <row r="11" spans="1:12" ht="66">
      <c r="A11" s="19"/>
      <c r="B11" s="12"/>
      <c r="C11" s="12" t="s">
        <v>32</v>
      </c>
      <c r="D11" s="12" t="s">
        <v>81</v>
      </c>
      <c r="E11" s="12" t="s">
        <v>291</v>
      </c>
      <c r="F11" s="40" t="s">
        <v>300</v>
      </c>
      <c r="G11" s="13">
        <v>46254</v>
      </c>
      <c r="H11" s="23">
        <v>3</v>
      </c>
      <c r="I11" s="12" t="s">
        <v>312</v>
      </c>
      <c r="J11" s="12" t="s">
        <v>237</v>
      </c>
      <c r="K11" s="13" t="s">
        <v>261</v>
      </c>
      <c r="L11" s="19"/>
    </row>
    <row r="12" spans="1:12" ht="42.75">
      <c r="A12" s="19"/>
      <c r="B12" s="12"/>
      <c r="C12" s="12" t="s">
        <v>32</v>
      </c>
      <c r="D12" s="36" t="s">
        <v>88</v>
      </c>
      <c r="E12" s="12" t="s">
        <v>292</v>
      </c>
      <c r="F12" s="12" t="s">
        <v>301</v>
      </c>
      <c r="G12" s="13">
        <v>46251</v>
      </c>
      <c r="H12" s="23">
        <v>2</v>
      </c>
      <c r="I12" s="12" t="s">
        <v>243</v>
      </c>
      <c r="J12" s="12" t="s">
        <v>237</v>
      </c>
      <c r="K12" s="13" t="s">
        <v>261</v>
      </c>
      <c r="L12" s="19"/>
    </row>
    <row r="13" spans="1:12" ht="28.5">
      <c r="A13" s="19"/>
      <c r="B13" s="12"/>
      <c r="C13" s="12" t="s">
        <v>32</v>
      </c>
      <c r="D13" s="12" t="s">
        <v>93</v>
      </c>
      <c r="E13" s="12" t="s">
        <v>293</v>
      </c>
      <c r="F13" s="36" t="s">
        <v>302</v>
      </c>
      <c r="G13" s="13">
        <v>46258</v>
      </c>
      <c r="H13" s="23">
        <v>4</v>
      </c>
      <c r="I13" s="12" t="s">
        <v>313</v>
      </c>
      <c r="J13" s="12" t="s">
        <v>237</v>
      </c>
      <c r="K13" s="13" t="s">
        <v>261</v>
      </c>
      <c r="L13" s="19"/>
    </row>
    <row r="14" spans="1:12" ht="42.75">
      <c r="A14" s="19"/>
      <c r="B14" s="12"/>
      <c r="C14" s="12" t="s">
        <v>32</v>
      </c>
      <c r="D14" s="12" t="s">
        <v>93</v>
      </c>
      <c r="E14" s="12" t="s">
        <v>294</v>
      </c>
      <c r="F14" s="12" t="s">
        <v>303</v>
      </c>
      <c r="G14" s="13">
        <v>46258</v>
      </c>
      <c r="H14" s="23">
        <v>2</v>
      </c>
      <c r="I14" s="12" t="s">
        <v>314</v>
      </c>
      <c r="J14" s="12" t="s">
        <v>237</v>
      </c>
      <c r="K14" s="13" t="s">
        <v>261</v>
      </c>
      <c r="L14" s="19"/>
    </row>
    <row r="15" spans="1:12" ht="42.75">
      <c r="A15" s="19"/>
      <c r="B15" s="12"/>
      <c r="C15" s="12" t="s">
        <v>187</v>
      </c>
      <c r="D15" s="12" t="s">
        <v>188</v>
      </c>
      <c r="E15" s="12" t="s">
        <v>295</v>
      </c>
      <c r="F15" s="12" t="s">
        <v>304</v>
      </c>
      <c r="G15" s="13">
        <v>46262</v>
      </c>
      <c r="H15" s="23">
        <v>2</v>
      </c>
      <c r="I15" s="12" t="s">
        <v>281</v>
      </c>
      <c r="J15" s="12" t="s">
        <v>237</v>
      </c>
      <c r="K15" s="13" t="s">
        <v>316</v>
      </c>
      <c r="L15" s="19"/>
    </row>
    <row r="16" spans="1:12" ht="28.5">
      <c r="A16" s="19"/>
      <c r="B16" s="12"/>
      <c r="C16" s="12" t="s">
        <v>187</v>
      </c>
      <c r="D16" s="12" t="s">
        <v>206</v>
      </c>
      <c r="E16" s="12" t="s">
        <v>296</v>
      </c>
      <c r="F16" s="36" t="s">
        <v>305</v>
      </c>
      <c r="G16" s="13">
        <v>46264</v>
      </c>
      <c r="H16" s="23">
        <v>3</v>
      </c>
      <c r="I16" s="12" t="s">
        <v>310</v>
      </c>
      <c r="J16" s="12" t="s">
        <v>237</v>
      </c>
      <c r="K16" s="13" t="s">
        <v>286</v>
      </c>
      <c r="L16" s="19"/>
    </row>
    <row r="17" spans="1:12" ht="57">
      <c r="A17" s="19"/>
      <c r="B17" s="12"/>
      <c r="C17" s="12" t="s">
        <v>187</v>
      </c>
      <c r="D17" s="12" t="s">
        <v>206</v>
      </c>
      <c r="E17" s="12" t="s">
        <v>297</v>
      </c>
      <c r="F17" s="12" t="s">
        <v>306</v>
      </c>
      <c r="G17" s="13">
        <v>46265</v>
      </c>
      <c r="H17" s="23">
        <v>3</v>
      </c>
      <c r="I17" s="12" t="s">
        <v>315</v>
      </c>
      <c r="J17" s="12" t="s">
        <v>237</v>
      </c>
      <c r="K17" s="13" t="s">
        <v>286</v>
      </c>
      <c r="L17" s="19"/>
    </row>
    <row r="18" spans="1:12" ht="71.25">
      <c r="A18" s="19"/>
      <c r="B18" s="12"/>
      <c r="C18" s="12" t="s">
        <v>187</v>
      </c>
      <c r="D18" s="12" t="s">
        <v>206</v>
      </c>
      <c r="E18" s="12" t="s">
        <v>298</v>
      </c>
      <c r="F18" s="12" t="s">
        <v>307</v>
      </c>
      <c r="G18" s="13">
        <v>46265</v>
      </c>
      <c r="H18" s="23">
        <v>2</v>
      </c>
      <c r="I18" s="12" t="s">
        <v>309</v>
      </c>
      <c r="J18" s="12" t="s">
        <v>237</v>
      </c>
      <c r="K18" s="13" t="s">
        <v>286</v>
      </c>
      <c r="L18" s="19"/>
    </row>
    <row r="19" spans="1:12">
      <c r="A19" s="19"/>
      <c r="B19" s="12"/>
      <c r="C19" s="12" t="s">
        <v>187</v>
      </c>
      <c r="D19" s="12" t="s">
        <v>266</v>
      </c>
      <c r="E19" s="12" t="s">
        <v>267</v>
      </c>
      <c r="F19" s="38" t="s">
        <v>308</v>
      </c>
      <c r="G19" s="13" t="s">
        <v>277</v>
      </c>
      <c r="H19" s="23">
        <v>4</v>
      </c>
      <c r="I19" s="12" t="s">
        <v>284</v>
      </c>
      <c r="J19" s="12" t="s">
        <v>237</v>
      </c>
      <c r="K19" s="13" t="s">
        <v>286</v>
      </c>
      <c r="L19" s="19" t="s">
        <v>288</v>
      </c>
    </row>
    <row r="20" spans="1:12" ht="42.75">
      <c r="A20" s="19" t="s">
        <v>233</v>
      </c>
      <c r="B20" s="12">
        <v>223060226</v>
      </c>
      <c r="C20" s="12" t="s">
        <v>32</v>
      </c>
      <c r="D20" s="36" t="s">
        <v>88</v>
      </c>
      <c r="E20" s="36" t="s">
        <v>317</v>
      </c>
      <c r="F20" s="12" t="s">
        <v>330</v>
      </c>
      <c r="G20" s="13">
        <v>46252</v>
      </c>
      <c r="H20" s="23">
        <v>2</v>
      </c>
      <c r="I20" s="12" t="s">
        <v>243</v>
      </c>
      <c r="J20" s="12" t="s">
        <v>237</v>
      </c>
      <c r="K20" s="13" t="s">
        <v>261</v>
      </c>
      <c r="L20" s="19"/>
    </row>
    <row r="21" spans="1:12" ht="57">
      <c r="A21" s="19"/>
      <c r="B21" s="12"/>
      <c r="C21" s="12" t="s">
        <v>32</v>
      </c>
      <c r="D21" s="12" t="s">
        <v>93</v>
      </c>
      <c r="E21" s="12" t="s">
        <v>318</v>
      </c>
      <c r="F21" s="12" t="s">
        <v>329</v>
      </c>
      <c r="G21" s="13">
        <v>46259</v>
      </c>
      <c r="H21" s="23">
        <v>4</v>
      </c>
      <c r="I21" s="12" t="s">
        <v>331</v>
      </c>
      <c r="J21" t="s">
        <v>237</v>
      </c>
      <c r="K21" s="13" t="s">
        <v>261</v>
      </c>
      <c r="L21" s="19"/>
    </row>
    <row r="22" spans="1:12" ht="57">
      <c r="A22" s="19"/>
      <c r="B22" s="12"/>
      <c r="C22" s="12" t="s">
        <v>32</v>
      </c>
      <c r="D22" s="12" t="s">
        <v>93</v>
      </c>
      <c r="E22" s="12" t="s">
        <v>319</v>
      </c>
      <c r="F22" s="12" t="s">
        <v>328</v>
      </c>
      <c r="G22" s="13">
        <v>46259</v>
      </c>
      <c r="H22" s="23">
        <v>3</v>
      </c>
      <c r="I22" s="12" t="s">
        <v>247</v>
      </c>
      <c r="J22" s="12" t="s">
        <v>237</v>
      </c>
      <c r="K22" s="13" t="s">
        <v>261</v>
      </c>
      <c r="L22" s="19"/>
    </row>
    <row r="23" spans="1:12" ht="71.25">
      <c r="A23" s="19"/>
      <c r="B23" s="12"/>
      <c r="C23" s="12" t="s">
        <v>187</v>
      </c>
      <c r="D23" s="12" t="s">
        <v>188</v>
      </c>
      <c r="E23" s="12" t="s">
        <v>320</v>
      </c>
      <c r="F23" s="12" t="s">
        <v>327</v>
      </c>
      <c r="G23" s="13">
        <v>46262</v>
      </c>
      <c r="H23" s="23">
        <v>4</v>
      </c>
      <c r="I23" s="12" t="s">
        <v>332</v>
      </c>
      <c r="J23" s="12" t="s">
        <v>237</v>
      </c>
      <c r="K23" s="13" t="s">
        <v>316</v>
      </c>
      <c r="L23" s="19"/>
    </row>
    <row r="24" spans="1:12" ht="57">
      <c r="A24" s="19"/>
      <c r="B24" s="12"/>
      <c r="C24" s="12" t="s">
        <v>187</v>
      </c>
      <c r="D24" s="12" t="s">
        <v>205</v>
      </c>
      <c r="E24" s="12" t="s">
        <v>321</v>
      </c>
      <c r="F24" s="12" t="s">
        <v>326</v>
      </c>
      <c r="G24" s="13">
        <v>46263</v>
      </c>
      <c r="H24" s="23">
        <v>3</v>
      </c>
      <c r="I24" s="12" t="s">
        <v>333</v>
      </c>
      <c r="J24" s="12" t="s">
        <v>237</v>
      </c>
      <c r="K24" s="13" t="s">
        <v>316</v>
      </c>
      <c r="L24" s="19"/>
    </row>
    <row r="25" spans="1:12" ht="71.25">
      <c r="A25" s="19"/>
      <c r="B25" s="12"/>
      <c r="C25" s="12" t="s">
        <v>187</v>
      </c>
      <c r="D25" s="12" t="s">
        <v>206</v>
      </c>
      <c r="E25" s="12" t="s">
        <v>322</v>
      </c>
      <c r="F25" s="12" t="s">
        <v>325</v>
      </c>
      <c r="G25" s="13">
        <v>46265</v>
      </c>
      <c r="H25" s="23">
        <v>3</v>
      </c>
      <c r="I25" s="12" t="s">
        <v>334</v>
      </c>
      <c r="J25" s="12" t="s">
        <v>237</v>
      </c>
      <c r="K25" s="13" t="s">
        <v>286</v>
      </c>
      <c r="L25" s="19"/>
    </row>
    <row r="26" spans="1:12" ht="42.75">
      <c r="A26" s="19"/>
      <c r="B26" s="12"/>
      <c r="C26" s="12" t="s">
        <v>187</v>
      </c>
      <c r="D26" s="12" t="s">
        <v>206</v>
      </c>
      <c r="E26" s="12" t="s">
        <v>323</v>
      </c>
      <c r="F26" s="12" t="s">
        <v>324</v>
      </c>
      <c r="G26" s="13">
        <v>46265</v>
      </c>
      <c r="H26" s="23">
        <v>3</v>
      </c>
      <c r="I26" s="12" t="s">
        <v>335</v>
      </c>
      <c r="J26" s="12" t="s">
        <v>237</v>
      </c>
      <c r="K26" s="13" t="s">
        <v>286</v>
      </c>
      <c r="L26" s="19"/>
    </row>
    <row r="27" spans="1:12" ht="42.75">
      <c r="A27" s="19"/>
      <c r="B27" s="12"/>
      <c r="C27" s="12" t="s">
        <v>187</v>
      </c>
      <c r="D27" s="12" t="s">
        <v>266</v>
      </c>
      <c r="E27" s="12" t="s">
        <v>267</v>
      </c>
      <c r="F27" s="12" t="s">
        <v>308</v>
      </c>
      <c r="G27" s="13" t="s">
        <v>277</v>
      </c>
      <c r="H27" s="23">
        <v>4</v>
      </c>
      <c r="I27" s="12" t="s">
        <v>284</v>
      </c>
      <c r="J27" s="12" t="s">
        <v>237</v>
      </c>
      <c r="K27" s="13" t="s">
        <v>286</v>
      </c>
      <c r="L27" s="19" t="s">
        <v>288</v>
      </c>
    </row>
    <row r="28" spans="1:12" ht="57">
      <c r="A28" s="19" t="s">
        <v>234</v>
      </c>
      <c r="B28" s="12">
        <v>224004294</v>
      </c>
      <c r="C28" s="12" t="s">
        <v>32</v>
      </c>
      <c r="D28" s="12" t="s">
        <v>88</v>
      </c>
      <c r="E28" s="12" t="s">
        <v>317</v>
      </c>
      <c r="F28" s="12" t="s">
        <v>344</v>
      </c>
      <c r="G28" s="13">
        <v>46252</v>
      </c>
      <c r="H28" s="23">
        <v>2</v>
      </c>
      <c r="I28" s="12" t="s">
        <v>243</v>
      </c>
      <c r="J28" s="12" t="s">
        <v>237</v>
      </c>
      <c r="K28" s="13" t="s">
        <v>261</v>
      </c>
      <c r="L28" s="19"/>
    </row>
    <row r="29" spans="1:12" ht="42.75">
      <c r="A29" s="19"/>
      <c r="B29" s="12"/>
      <c r="C29" s="12" t="s">
        <v>32</v>
      </c>
      <c r="D29" s="12" t="s">
        <v>93</v>
      </c>
      <c r="E29" s="12" t="s">
        <v>336</v>
      </c>
      <c r="F29" s="12" t="s">
        <v>343</v>
      </c>
      <c r="G29" s="13">
        <v>46259</v>
      </c>
      <c r="H29" s="23">
        <v>4</v>
      </c>
      <c r="I29" s="12" t="s">
        <v>346</v>
      </c>
      <c r="J29" s="12" t="s">
        <v>237</v>
      </c>
      <c r="K29" s="13" t="s">
        <v>261</v>
      </c>
      <c r="L29" s="19"/>
    </row>
    <row r="30" spans="1:12" ht="71.25">
      <c r="A30" s="19"/>
      <c r="B30" s="12"/>
      <c r="C30" s="12" t="s">
        <v>187</v>
      </c>
      <c r="D30" s="12" t="s">
        <v>188</v>
      </c>
      <c r="E30" s="12" t="s">
        <v>337</v>
      </c>
      <c r="F30" s="12" t="s">
        <v>342</v>
      </c>
      <c r="G30" s="13">
        <v>46262</v>
      </c>
      <c r="H30" s="23">
        <v>4</v>
      </c>
      <c r="I30" s="12" t="s">
        <v>345</v>
      </c>
      <c r="J30" s="12" t="s">
        <v>237</v>
      </c>
      <c r="K30" s="13" t="s">
        <v>316</v>
      </c>
      <c r="L30" s="19"/>
    </row>
    <row r="31" spans="1:12" ht="57">
      <c r="A31" s="19"/>
      <c r="B31" s="12"/>
      <c r="C31" s="12" t="s">
        <v>187</v>
      </c>
      <c r="D31" s="12" t="s">
        <v>205</v>
      </c>
      <c r="E31" s="12" t="s">
        <v>338</v>
      </c>
      <c r="F31" s="12" t="s">
        <v>341</v>
      </c>
      <c r="G31" s="13">
        <v>46263</v>
      </c>
      <c r="H31" s="23">
        <v>2</v>
      </c>
      <c r="I31" s="12" t="s">
        <v>333</v>
      </c>
      <c r="J31" s="12" t="s">
        <v>237</v>
      </c>
      <c r="K31" s="13" t="s">
        <v>316</v>
      </c>
      <c r="L31" s="19"/>
    </row>
    <row r="32" spans="1:12" ht="57">
      <c r="A32" s="19"/>
      <c r="B32" s="12"/>
      <c r="C32" s="12" t="s">
        <v>187</v>
      </c>
      <c r="D32" s="12" t="s">
        <v>206</v>
      </c>
      <c r="E32" s="12" t="s">
        <v>339</v>
      </c>
      <c r="F32" s="12" t="s">
        <v>340</v>
      </c>
      <c r="G32" s="13">
        <v>46265</v>
      </c>
      <c r="H32" s="23">
        <v>3</v>
      </c>
      <c r="I32" s="12" t="s">
        <v>310</v>
      </c>
      <c r="J32" s="12" t="s">
        <v>237</v>
      </c>
      <c r="K32" s="13" t="s">
        <v>286</v>
      </c>
      <c r="L32" s="19"/>
    </row>
    <row r="33" spans="1:12" ht="42.75">
      <c r="A33" s="19" t="s">
        <v>260</v>
      </c>
      <c r="B33" s="12">
        <v>224007421</v>
      </c>
      <c r="C33" s="12" t="s">
        <v>32</v>
      </c>
      <c r="D33" s="12" t="s">
        <v>88</v>
      </c>
      <c r="E33" s="12" t="s">
        <v>317</v>
      </c>
      <c r="F33" s="12" t="s">
        <v>363</v>
      </c>
      <c r="G33" s="13">
        <v>46252</v>
      </c>
      <c r="H33" s="23">
        <v>2</v>
      </c>
      <c r="I33" s="12" t="s">
        <v>364</v>
      </c>
      <c r="J33" s="12" t="s">
        <v>237</v>
      </c>
      <c r="K33" s="13" t="s">
        <v>261</v>
      </c>
      <c r="L33" s="19"/>
    </row>
    <row r="34" spans="1:12" ht="42.75">
      <c r="A34" s="19"/>
      <c r="B34" s="12"/>
      <c r="C34" s="12" t="s">
        <v>32</v>
      </c>
      <c r="D34" s="12" t="s">
        <v>93</v>
      </c>
      <c r="E34" s="12" t="s">
        <v>347</v>
      </c>
      <c r="F34" s="12" t="s">
        <v>362</v>
      </c>
      <c r="G34" s="13">
        <v>46259</v>
      </c>
      <c r="H34" s="23">
        <v>4</v>
      </c>
      <c r="I34" s="12" t="s">
        <v>245</v>
      </c>
      <c r="J34" s="12" t="s">
        <v>237</v>
      </c>
      <c r="K34" s="13" t="s">
        <v>261</v>
      </c>
      <c r="L34" s="19"/>
    </row>
    <row r="35" spans="1:12" ht="42.75">
      <c r="A35" s="19"/>
      <c r="B35" s="12"/>
      <c r="C35" s="12" t="s">
        <v>32</v>
      </c>
      <c r="D35" s="12" t="s">
        <v>93</v>
      </c>
      <c r="E35" s="12" t="s">
        <v>348</v>
      </c>
      <c r="F35" s="12" t="s">
        <v>361</v>
      </c>
      <c r="G35" s="13">
        <v>46257</v>
      </c>
      <c r="H35" s="23">
        <v>3</v>
      </c>
      <c r="I35" s="41" t="s">
        <v>246</v>
      </c>
      <c r="J35" s="12" t="s">
        <v>237</v>
      </c>
      <c r="K35" s="13" t="s">
        <v>261</v>
      </c>
      <c r="L35" s="19"/>
    </row>
    <row r="36" spans="1:12" ht="42.75">
      <c r="A36" s="19"/>
      <c r="B36" s="12"/>
      <c r="C36" s="12" t="s">
        <v>32</v>
      </c>
      <c r="D36" s="12" t="s">
        <v>93</v>
      </c>
      <c r="E36" s="12" t="s">
        <v>349</v>
      </c>
      <c r="F36" s="12" t="s">
        <v>360</v>
      </c>
      <c r="G36" s="13">
        <v>46259</v>
      </c>
      <c r="H36" s="23">
        <v>2</v>
      </c>
      <c r="I36" s="12" t="s">
        <v>365</v>
      </c>
      <c r="J36" s="12" t="s">
        <v>237</v>
      </c>
      <c r="K36" s="13" t="s">
        <v>261</v>
      </c>
      <c r="L36" s="19"/>
    </row>
    <row r="37" spans="1:12" ht="57">
      <c r="A37" s="19"/>
      <c r="B37" s="12"/>
      <c r="C37" s="12" t="s">
        <v>187</v>
      </c>
      <c r="D37" s="12" t="s">
        <v>188</v>
      </c>
      <c r="E37" s="12" t="s">
        <v>350</v>
      </c>
      <c r="F37" s="12" t="s">
        <v>359</v>
      </c>
      <c r="G37" s="13">
        <v>46262</v>
      </c>
      <c r="H37" s="23">
        <v>3</v>
      </c>
      <c r="I37" s="12" t="s">
        <v>366</v>
      </c>
      <c r="J37" s="12" t="s">
        <v>237</v>
      </c>
      <c r="K37" s="13" t="s">
        <v>316</v>
      </c>
      <c r="L37" s="19"/>
    </row>
    <row r="38" spans="1:12" ht="57">
      <c r="A38" s="19"/>
      <c r="B38" s="12"/>
      <c r="C38" s="12" t="s">
        <v>187</v>
      </c>
      <c r="D38" s="12" t="s">
        <v>205</v>
      </c>
      <c r="E38" s="12" t="s">
        <v>351</v>
      </c>
      <c r="F38" s="12" t="s">
        <v>358</v>
      </c>
      <c r="G38" s="13">
        <v>46263</v>
      </c>
      <c r="H38" s="23">
        <v>3</v>
      </c>
      <c r="I38" s="36" t="s">
        <v>367</v>
      </c>
      <c r="J38" s="12" t="s">
        <v>237</v>
      </c>
      <c r="K38" s="13" t="s">
        <v>316</v>
      </c>
      <c r="L38" s="19"/>
    </row>
    <row r="39" spans="1:12" ht="57">
      <c r="A39" s="19"/>
      <c r="B39" s="12"/>
      <c r="C39" s="12" t="s">
        <v>187</v>
      </c>
      <c r="D39" s="12" t="s">
        <v>206</v>
      </c>
      <c r="E39" s="12" t="s">
        <v>352</v>
      </c>
      <c r="F39" s="12" t="s">
        <v>357</v>
      </c>
      <c r="G39" s="13">
        <v>46265</v>
      </c>
      <c r="H39" s="23">
        <v>4</v>
      </c>
      <c r="I39" s="12" t="s">
        <v>368</v>
      </c>
      <c r="J39" s="12" t="s">
        <v>237</v>
      </c>
      <c r="K39" s="13" t="s">
        <v>286</v>
      </c>
      <c r="L39" s="19"/>
    </row>
    <row r="40" spans="1:12" ht="42.75">
      <c r="A40" s="19"/>
      <c r="B40" s="12"/>
      <c r="C40" s="12" t="s">
        <v>187</v>
      </c>
      <c r="D40" s="12" t="s">
        <v>206</v>
      </c>
      <c r="E40" s="12" t="s">
        <v>353</v>
      </c>
      <c r="F40" s="12" t="s">
        <v>356</v>
      </c>
      <c r="G40" s="13">
        <v>46265</v>
      </c>
      <c r="H40" s="23">
        <v>3</v>
      </c>
      <c r="I40" s="12" t="s">
        <v>369</v>
      </c>
      <c r="J40" s="12" t="s">
        <v>237</v>
      </c>
      <c r="K40" s="13" t="s">
        <v>286</v>
      </c>
      <c r="L40" s="19"/>
    </row>
    <row r="41" spans="1:12" ht="42.75">
      <c r="A41" s="19"/>
      <c r="B41" s="12"/>
      <c r="C41" s="12" t="s">
        <v>187</v>
      </c>
      <c r="D41" s="12" t="s">
        <v>206</v>
      </c>
      <c r="E41" s="12" t="s">
        <v>354</v>
      </c>
      <c r="F41" s="12" t="s">
        <v>355</v>
      </c>
      <c r="G41" s="13">
        <v>46265</v>
      </c>
      <c r="H41" s="23">
        <v>3</v>
      </c>
      <c r="I41" s="12" t="s">
        <v>370</v>
      </c>
      <c r="J41" s="12" t="s">
        <v>237</v>
      </c>
      <c r="K41" s="13" t="s">
        <v>286</v>
      </c>
      <c r="L41" s="19"/>
    </row>
    <row r="42" spans="1:12" ht="42.75">
      <c r="A42" s="19"/>
      <c r="B42" s="12"/>
      <c r="C42" s="12" t="s">
        <v>187</v>
      </c>
      <c r="D42" s="12" t="s">
        <v>266</v>
      </c>
      <c r="E42" s="12" t="s">
        <v>267</v>
      </c>
      <c r="F42" s="12" t="s">
        <v>371</v>
      </c>
      <c r="G42" s="13" t="s">
        <v>277</v>
      </c>
      <c r="H42" s="23">
        <v>4</v>
      </c>
      <c r="I42" s="12" t="s">
        <v>284</v>
      </c>
      <c r="J42" s="12" t="s">
        <v>237</v>
      </c>
      <c r="K42" s="13" t="s">
        <v>286</v>
      </c>
      <c r="L42" s="19" t="s">
        <v>288</v>
      </c>
    </row>
    <row r="43" spans="1:12">
      <c r="A43" s="19"/>
      <c r="B43" s="12"/>
      <c r="C43" s="12"/>
      <c r="D43" s="12"/>
      <c r="E43" s="12"/>
      <c r="F43" s="12"/>
      <c r="G43" s="13"/>
      <c r="H43" s="23"/>
      <c r="I43" s="12"/>
      <c r="J43" s="12"/>
      <c r="K43" s="13"/>
      <c r="L43" s="19"/>
    </row>
    <row r="44" spans="1:12">
      <c r="A44" s="19"/>
      <c r="B44" s="12"/>
      <c r="C44" s="12"/>
      <c r="D44" s="12"/>
      <c r="E44" s="12"/>
      <c r="F44" s="12"/>
      <c r="G44" s="13"/>
      <c r="H44" s="23"/>
      <c r="I44" s="12"/>
      <c r="J44" s="12"/>
      <c r="K44" s="13"/>
      <c r="L44" s="19"/>
    </row>
    <row r="45" spans="1:12">
      <c r="A45" s="19"/>
      <c r="B45" s="12"/>
      <c r="C45" s="12"/>
      <c r="D45" s="12"/>
      <c r="E45" s="12"/>
      <c r="F45" s="12"/>
      <c r="G45" s="13"/>
      <c r="H45" s="23"/>
      <c r="I45" s="12"/>
      <c r="J45" s="12"/>
      <c r="K45" s="13"/>
      <c r="L45" s="19"/>
    </row>
    <row r="46" spans="1:12">
      <c r="A46" s="19"/>
      <c r="B46" s="12"/>
      <c r="C46" s="12"/>
      <c r="D46" s="12"/>
      <c r="E46" s="12"/>
      <c r="F46" s="12"/>
      <c r="G46" s="13"/>
      <c r="H46" s="23"/>
      <c r="I46" s="12"/>
      <c r="J46" s="12"/>
      <c r="K46" s="13"/>
      <c r="L46" s="19"/>
    </row>
    <row r="47" spans="1:12">
      <c r="A47" s="19"/>
      <c r="B47" s="12"/>
      <c r="C47" s="12"/>
      <c r="D47" s="12"/>
      <c r="E47" s="12"/>
      <c r="F47" s="12"/>
      <c r="G47" s="13"/>
      <c r="H47" s="23"/>
      <c r="I47" s="12"/>
      <c r="J47" s="12"/>
      <c r="K47" s="13"/>
      <c r="L47" s="19"/>
    </row>
    <row r="48" spans="1:12">
      <c r="A48" s="19"/>
      <c r="B48" s="12"/>
      <c r="C48" s="12"/>
      <c r="D48" s="12"/>
      <c r="E48" s="12"/>
      <c r="F48" s="12"/>
      <c r="G48" s="13"/>
      <c r="H48" s="23"/>
      <c r="I48" s="12"/>
      <c r="J48" s="12"/>
      <c r="K48" s="13"/>
      <c r="L48" s="19"/>
    </row>
    <row r="49" spans="1:12">
      <c r="A49" s="19"/>
      <c r="B49" s="12"/>
      <c r="C49" s="12"/>
      <c r="D49" s="12"/>
      <c r="E49" s="12"/>
      <c r="F49" s="12"/>
      <c r="G49" s="13"/>
      <c r="H49" s="23"/>
      <c r="I49" s="12"/>
      <c r="J49" s="12"/>
      <c r="K49" s="13"/>
      <c r="L49" s="19"/>
    </row>
    <row r="50" spans="1:12">
      <c r="A50" s="19"/>
      <c r="B50" s="12"/>
      <c r="C50" s="12"/>
      <c r="D50" s="12"/>
      <c r="E50" s="12"/>
      <c r="F50" s="12"/>
      <c r="G50" s="13"/>
      <c r="H50" s="23"/>
      <c r="I50" s="12"/>
      <c r="J50" s="12"/>
      <c r="K50" s="13"/>
      <c r="L50" s="19"/>
    </row>
    <row r="51" spans="1:12">
      <c r="A51" s="19"/>
      <c r="B51" s="12"/>
      <c r="C51" s="12"/>
      <c r="D51" s="12"/>
      <c r="E51" s="12"/>
      <c r="F51" s="12"/>
      <c r="G51" s="13"/>
      <c r="H51" s="23"/>
      <c r="I51" s="12"/>
      <c r="J51" s="12"/>
      <c r="K51" s="13"/>
      <c r="L51" s="19"/>
    </row>
    <row r="52" spans="1:12">
      <c r="A52" s="19"/>
      <c r="B52" s="12"/>
      <c r="C52" s="12"/>
      <c r="D52" s="12"/>
      <c r="E52" s="12"/>
      <c r="F52" s="12"/>
      <c r="G52" s="13"/>
      <c r="H52" s="23"/>
      <c r="I52" s="12"/>
      <c r="J52" s="12"/>
      <c r="K52" s="13"/>
      <c r="L52" s="19"/>
    </row>
    <row r="53" spans="1:12">
      <c r="A53" s="19"/>
      <c r="B53" s="12"/>
      <c r="C53" s="12"/>
      <c r="D53" s="12"/>
      <c r="E53" s="12"/>
      <c r="F53" s="12"/>
      <c r="G53" s="13"/>
      <c r="H53" s="23"/>
      <c r="I53" s="12"/>
      <c r="J53" s="12"/>
      <c r="K53" s="13"/>
      <c r="L53" s="19"/>
    </row>
    <row r="54" spans="1:12">
      <c r="A54" s="19"/>
      <c r="B54" s="12"/>
      <c r="C54" s="12"/>
      <c r="D54" s="12"/>
      <c r="E54" s="12"/>
      <c r="F54" s="12"/>
      <c r="G54" s="13"/>
      <c r="H54" s="23"/>
      <c r="I54" s="12"/>
      <c r="J54" s="12"/>
      <c r="K54" s="13"/>
      <c r="L54" s="19"/>
    </row>
    <row r="55" spans="1:12">
      <c r="A55" s="19"/>
      <c r="B55" s="12"/>
      <c r="C55" s="12"/>
      <c r="D55" s="12"/>
      <c r="E55" s="12"/>
      <c r="F55" s="12"/>
      <c r="G55" s="13"/>
      <c r="H55" s="23"/>
      <c r="I55" s="12"/>
      <c r="J55" s="12"/>
      <c r="K55" s="13"/>
      <c r="L55" s="19"/>
    </row>
    <row r="56" spans="1:12">
      <c r="A56" s="19"/>
      <c r="B56" s="12"/>
      <c r="C56" s="12"/>
      <c r="D56" s="12"/>
      <c r="E56" s="12"/>
      <c r="F56" s="12"/>
      <c r="G56" s="13"/>
      <c r="H56" s="23"/>
      <c r="I56" s="12"/>
      <c r="J56" s="12"/>
      <c r="K56" s="13"/>
      <c r="L56" s="19"/>
    </row>
    <row r="57" spans="1:12">
      <c r="A57" s="19"/>
      <c r="B57" s="12"/>
      <c r="C57" s="12"/>
      <c r="D57" s="12"/>
      <c r="E57" s="12"/>
      <c r="F57" s="12"/>
      <c r="G57" s="13"/>
      <c r="H57" s="23"/>
      <c r="I57" s="12"/>
      <c r="J57" s="12"/>
      <c r="K57" s="13"/>
      <c r="L57" s="19"/>
    </row>
    <row r="58" spans="1:12">
      <c r="A58" s="19"/>
      <c r="B58" s="12"/>
      <c r="C58" s="12"/>
      <c r="D58" s="12"/>
      <c r="E58" s="12"/>
      <c r="F58" s="12"/>
      <c r="G58" s="13"/>
      <c r="H58" s="23"/>
      <c r="I58" s="12"/>
      <c r="J58" s="12"/>
      <c r="K58" s="13"/>
      <c r="L58" s="19"/>
    </row>
    <row r="59" spans="1:12">
      <c r="A59" s="19"/>
      <c r="B59" s="12"/>
      <c r="C59" s="12"/>
      <c r="D59" s="12"/>
      <c r="E59" s="12"/>
      <c r="F59" s="12"/>
      <c r="G59" s="13"/>
      <c r="H59" s="23"/>
      <c r="I59" s="12"/>
      <c r="J59" s="12"/>
      <c r="K59" s="13"/>
      <c r="L59" s="19"/>
    </row>
    <row r="60" spans="1:12">
      <c r="A60" s="19"/>
      <c r="B60" s="12"/>
      <c r="C60" s="12"/>
      <c r="D60" s="12"/>
      <c r="E60" s="12"/>
      <c r="F60" s="12"/>
      <c r="G60" s="13"/>
      <c r="H60" s="23"/>
      <c r="I60" s="12"/>
      <c r="J60" s="12"/>
      <c r="K60" s="13"/>
      <c r="L60" s="19"/>
    </row>
    <row r="61" spans="1:12">
      <c r="A61" s="19"/>
      <c r="B61" s="12"/>
      <c r="C61" s="12"/>
      <c r="D61" s="12"/>
      <c r="E61" s="12"/>
      <c r="F61" s="12"/>
      <c r="G61" s="13"/>
      <c r="H61" s="23"/>
      <c r="I61" s="12"/>
      <c r="J61" s="12"/>
      <c r="K61" s="13"/>
      <c r="L61" s="19"/>
    </row>
    <row r="62" spans="1:12">
      <c r="A62" s="19"/>
      <c r="B62" s="12"/>
      <c r="C62" s="12"/>
      <c r="D62" s="12"/>
      <c r="E62" s="12"/>
      <c r="F62" s="12"/>
      <c r="G62" s="13"/>
      <c r="H62" s="23"/>
      <c r="I62" s="12"/>
      <c r="J62" s="12"/>
      <c r="K62" s="13"/>
      <c r="L62" s="19"/>
    </row>
    <row r="63" spans="1:12">
      <c r="A63" s="19"/>
      <c r="B63" s="12"/>
      <c r="C63" s="12"/>
      <c r="D63" s="12"/>
      <c r="E63" s="12"/>
      <c r="F63" s="12"/>
      <c r="G63" s="13"/>
      <c r="H63" s="23"/>
      <c r="I63" s="12"/>
      <c r="J63" s="12"/>
      <c r="K63" s="13"/>
      <c r="L63" s="19"/>
    </row>
    <row r="64" spans="1:12">
      <c r="A64" s="19"/>
      <c r="B64" s="12"/>
      <c r="C64" s="12"/>
      <c r="D64" s="12"/>
      <c r="E64" s="12"/>
      <c r="F64" s="12"/>
      <c r="G64" s="13"/>
      <c r="H64" s="23"/>
      <c r="I64" s="12"/>
      <c r="J64" s="12"/>
      <c r="K64" s="13"/>
      <c r="L64" s="19"/>
    </row>
    <row r="65" spans="1:12">
      <c r="A65" s="19"/>
      <c r="B65" s="12"/>
      <c r="C65" s="12"/>
      <c r="D65" s="12"/>
      <c r="E65" s="12"/>
      <c r="F65" s="12"/>
      <c r="G65" s="13"/>
      <c r="H65" s="23"/>
      <c r="I65" s="12"/>
      <c r="J65" s="12"/>
      <c r="K65" s="13"/>
      <c r="L65" s="19"/>
    </row>
    <row r="66" spans="1:12">
      <c r="A66" s="19"/>
      <c r="B66" s="12"/>
      <c r="C66" s="12"/>
      <c r="D66" s="12"/>
      <c r="E66" s="12"/>
      <c r="F66" s="12"/>
      <c r="G66" s="13"/>
      <c r="H66" s="23"/>
      <c r="I66" s="12"/>
      <c r="J66" s="12"/>
      <c r="K66" s="13"/>
      <c r="L66" s="19"/>
    </row>
    <row r="67" spans="1:12">
      <c r="A67" s="19"/>
      <c r="B67" s="12"/>
      <c r="C67" s="12"/>
      <c r="D67" s="12"/>
      <c r="E67" s="12"/>
      <c r="F67" s="12"/>
      <c r="G67" s="13"/>
      <c r="H67" s="23"/>
      <c r="I67" s="12"/>
      <c r="J67" s="12"/>
      <c r="K67" s="13"/>
      <c r="L67" s="19"/>
    </row>
    <row r="68" spans="1:12">
      <c r="A68" s="19"/>
      <c r="B68" s="12"/>
      <c r="C68" s="12"/>
      <c r="D68" s="12"/>
      <c r="E68" s="12"/>
      <c r="F68" s="12"/>
      <c r="G68" s="13"/>
      <c r="H68" s="23"/>
      <c r="I68" s="12"/>
      <c r="J68" s="12"/>
      <c r="K68" s="13"/>
      <c r="L68" s="19"/>
    </row>
    <row r="69" spans="1:12">
      <c r="A69" s="19"/>
      <c r="B69" s="12"/>
      <c r="C69" s="12"/>
      <c r="D69" s="12"/>
      <c r="E69" s="12"/>
      <c r="F69" s="12"/>
      <c r="G69" s="13"/>
      <c r="H69" s="23"/>
      <c r="I69" s="12"/>
      <c r="J69" s="12"/>
      <c r="K69" s="13"/>
      <c r="L69" s="19"/>
    </row>
    <row r="70" spans="1:12">
      <c r="A70" s="19"/>
      <c r="B70" s="12"/>
      <c r="C70" s="12"/>
      <c r="D70" s="12"/>
      <c r="E70" s="12"/>
      <c r="F70" s="12"/>
      <c r="G70" s="13"/>
      <c r="H70" s="23"/>
      <c r="I70" s="12"/>
      <c r="J70" s="12"/>
      <c r="K70" s="13"/>
      <c r="L70" s="19"/>
    </row>
    <row r="71" spans="1:12">
      <c r="A71" s="19"/>
      <c r="B71" s="12"/>
      <c r="C71" s="12"/>
      <c r="D71" s="12"/>
      <c r="E71" s="12"/>
      <c r="F71" s="12"/>
      <c r="G71" s="13"/>
      <c r="H71" s="23"/>
      <c r="I71" s="12"/>
      <c r="J71" s="12"/>
      <c r="K71" s="13"/>
      <c r="L71" s="19"/>
    </row>
    <row r="72" spans="1:12">
      <c r="A72" s="19"/>
      <c r="B72" s="12"/>
      <c r="C72" s="12"/>
      <c r="D72" s="12"/>
      <c r="E72" s="12"/>
      <c r="F72" s="12"/>
      <c r="G72" s="13"/>
      <c r="H72" s="23"/>
      <c r="I72" s="12"/>
      <c r="J72" s="12"/>
      <c r="K72" s="13"/>
      <c r="L72" s="19"/>
    </row>
    <row r="73" spans="1:12">
      <c r="A73" s="19"/>
      <c r="B73" s="12"/>
      <c r="C73" s="12"/>
      <c r="D73" s="12"/>
      <c r="E73" s="12"/>
      <c r="F73" s="12"/>
      <c r="G73" s="13"/>
      <c r="H73" s="23"/>
      <c r="I73" s="12"/>
      <c r="J73" s="12"/>
      <c r="K73" s="13"/>
      <c r="L73" s="19"/>
    </row>
    <row r="74" spans="1:12">
      <c r="A74" s="19"/>
      <c r="B74" s="12"/>
      <c r="C74" s="12"/>
      <c r="D74" s="12"/>
      <c r="E74" s="12"/>
      <c r="F74" s="12"/>
      <c r="G74" s="13"/>
      <c r="H74" s="23"/>
      <c r="I74" s="12"/>
      <c r="J74" s="12"/>
      <c r="K74" s="13"/>
      <c r="L74" s="19"/>
    </row>
    <row r="75" spans="1:12">
      <c r="A75" s="19"/>
      <c r="B75" s="12"/>
      <c r="C75" s="12"/>
      <c r="D75" s="12"/>
      <c r="E75" s="12"/>
      <c r="F75" s="12"/>
      <c r="G75" s="13"/>
      <c r="H75" s="23"/>
      <c r="I75" s="12"/>
      <c r="J75" s="12"/>
      <c r="K75" s="13"/>
      <c r="L75" s="19"/>
    </row>
    <row r="76" spans="1:12">
      <c r="A76" s="19"/>
      <c r="B76" s="12"/>
      <c r="C76" s="12"/>
      <c r="D76" s="12"/>
      <c r="E76" s="12"/>
      <c r="F76" s="12"/>
      <c r="G76" s="13"/>
      <c r="H76" s="23"/>
      <c r="I76" s="12"/>
      <c r="J76" s="12"/>
      <c r="K76" s="13"/>
      <c r="L76" s="19"/>
    </row>
    <row r="77" spans="1:12">
      <c r="A77" s="19"/>
      <c r="B77" s="12"/>
      <c r="C77" s="12"/>
      <c r="D77" s="12"/>
      <c r="E77" s="12"/>
      <c r="F77" s="12"/>
      <c r="G77" s="13"/>
      <c r="H77" s="23"/>
      <c r="I77" s="12"/>
      <c r="J77" s="12"/>
      <c r="K77" s="13"/>
      <c r="L77" s="19"/>
    </row>
    <row r="78" spans="1:12">
      <c r="A78" s="19"/>
      <c r="B78" s="12"/>
      <c r="C78" s="12"/>
      <c r="D78" s="12"/>
      <c r="E78" s="12"/>
      <c r="F78" s="12"/>
      <c r="G78" s="13"/>
      <c r="H78" s="23"/>
      <c r="I78" s="12"/>
      <c r="J78" s="12"/>
      <c r="K78" s="13"/>
      <c r="L78" s="19"/>
    </row>
    <row r="79" spans="1:12">
      <c r="A79" s="19"/>
      <c r="B79" s="12"/>
      <c r="C79" s="12"/>
      <c r="D79" s="12"/>
      <c r="E79" s="12"/>
      <c r="F79" s="12"/>
      <c r="G79" s="13"/>
      <c r="H79" s="23"/>
      <c r="I79" s="12"/>
      <c r="J79" s="12"/>
      <c r="K79" s="13"/>
      <c r="L79" s="19"/>
    </row>
    <row r="80" spans="1:12">
      <c r="A80" s="19"/>
      <c r="B80" s="12"/>
      <c r="C80" s="12"/>
      <c r="D80" s="12"/>
      <c r="E80" s="12"/>
      <c r="F80" s="12"/>
      <c r="G80" s="13"/>
      <c r="H80" s="23"/>
      <c r="I80" s="12"/>
      <c r="J80" s="12"/>
      <c r="K80" s="13"/>
      <c r="L80" s="19"/>
    </row>
    <row r="81" spans="1:12">
      <c r="A81" s="19"/>
      <c r="B81" s="12"/>
      <c r="C81" s="12"/>
      <c r="D81" s="12"/>
      <c r="E81" s="12"/>
      <c r="F81" s="12"/>
      <c r="G81" s="13"/>
      <c r="H81" s="23"/>
      <c r="I81" s="12"/>
      <c r="J81" s="12"/>
      <c r="K81" s="13"/>
      <c r="L81" s="19"/>
    </row>
    <row r="82" spans="1:12">
      <c r="A82" s="19"/>
      <c r="B82" s="12"/>
      <c r="C82" s="12"/>
      <c r="D82" s="12"/>
      <c r="E82" s="12"/>
      <c r="F82" s="12"/>
      <c r="G82" s="13"/>
      <c r="H82" s="23"/>
      <c r="I82" s="12"/>
      <c r="J82" s="12"/>
      <c r="K82" s="13"/>
      <c r="L82" s="19"/>
    </row>
    <row r="83" spans="1:12">
      <c r="A83" s="19"/>
      <c r="B83" s="12"/>
      <c r="C83" s="12"/>
      <c r="D83" s="12"/>
      <c r="E83" s="12"/>
      <c r="F83" s="12"/>
      <c r="G83" s="13"/>
      <c r="H83" s="23"/>
      <c r="I83" s="12"/>
      <c r="J83" s="12"/>
      <c r="K83" s="13"/>
      <c r="L83" s="19"/>
    </row>
    <row r="84" spans="1:12">
      <c r="A84" s="19"/>
      <c r="B84" s="12"/>
      <c r="C84" s="12"/>
      <c r="D84" s="12"/>
      <c r="E84" s="12"/>
      <c r="F84" s="12"/>
      <c r="G84" s="13"/>
      <c r="H84" s="23"/>
      <c r="I84" s="12"/>
      <c r="J84" s="12"/>
      <c r="K84" s="13"/>
      <c r="L84" s="19"/>
    </row>
    <row r="85" spans="1:12">
      <c r="A85" s="19"/>
      <c r="B85" s="12"/>
      <c r="C85" s="12"/>
      <c r="D85" s="12"/>
      <c r="E85" s="12"/>
      <c r="F85" s="12"/>
      <c r="G85" s="13"/>
      <c r="H85" s="23"/>
      <c r="I85" s="12"/>
      <c r="J85" s="12"/>
      <c r="K85" s="13"/>
      <c r="L85" s="19"/>
    </row>
    <row r="86" spans="1:12">
      <c r="A86" s="19"/>
      <c r="B86" s="12"/>
      <c r="C86" s="12"/>
      <c r="D86" s="12"/>
      <c r="E86" s="12"/>
      <c r="F86" s="12"/>
      <c r="G86" s="13"/>
      <c r="H86" s="23"/>
      <c r="I86" s="12"/>
      <c r="J86" s="12"/>
      <c r="K86" s="13"/>
      <c r="L86" s="19"/>
    </row>
    <row r="87" spans="1:12">
      <c r="A87" s="19"/>
      <c r="B87" s="12"/>
      <c r="C87" s="12"/>
      <c r="D87" s="12"/>
      <c r="E87" s="12"/>
      <c r="F87" s="12"/>
      <c r="G87" s="13"/>
      <c r="H87" s="23"/>
      <c r="I87" s="12"/>
      <c r="J87" s="12"/>
      <c r="K87" s="13"/>
      <c r="L87" s="19"/>
    </row>
    <row r="88" spans="1:12">
      <c r="A88" s="19"/>
      <c r="B88" s="12"/>
      <c r="C88" s="12"/>
      <c r="D88" s="12"/>
      <c r="E88" s="12"/>
      <c r="F88" s="12"/>
      <c r="G88" s="13"/>
      <c r="H88" s="23"/>
      <c r="I88" s="12"/>
      <c r="J88" s="12"/>
      <c r="K88" s="13"/>
      <c r="L88" s="19"/>
    </row>
    <row r="89" spans="1:12">
      <c r="A89" s="19"/>
      <c r="B89" s="12"/>
      <c r="C89" s="12"/>
      <c r="D89" s="12"/>
      <c r="E89" s="12"/>
      <c r="F89" s="12"/>
      <c r="G89" s="13"/>
      <c r="H89" s="23"/>
      <c r="I89" s="12"/>
      <c r="J89" s="12"/>
      <c r="K89" s="13"/>
      <c r="L89" s="19"/>
    </row>
    <row r="90" spans="1:12">
      <c r="A90" s="19"/>
      <c r="B90" s="12"/>
      <c r="C90" s="12"/>
      <c r="D90" s="12"/>
      <c r="E90" s="12"/>
      <c r="F90" s="12"/>
      <c r="G90" s="13"/>
      <c r="H90" s="23"/>
      <c r="I90" s="12"/>
      <c r="J90" s="12"/>
      <c r="K90" s="13"/>
      <c r="L90" s="19"/>
    </row>
    <row r="91" spans="1:12">
      <c r="A91" s="19"/>
      <c r="B91" s="12"/>
      <c r="C91" s="12"/>
      <c r="D91" s="12"/>
      <c r="E91" s="12"/>
      <c r="F91" s="12"/>
      <c r="G91" s="13"/>
      <c r="H91" s="23"/>
      <c r="I91" s="12"/>
      <c r="J91" s="12"/>
      <c r="K91" s="13"/>
      <c r="L91" s="19"/>
    </row>
    <row r="92" spans="1:12">
      <c r="A92" s="19"/>
      <c r="B92" s="12"/>
      <c r="C92" s="12"/>
      <c r="D92" s="12"/>
      <c r="E92" s="12"/>
      <c r="F92" s="12"/>
      <c r="G92" s="13"/>
      <c r="H92" s="23"/>
      <c r="I92" s="12"/>
      <c r="J92" s="12"/>
      <c r="K92" s="13"/>
      <c r="L92" s="19"/>
    </row>
    <row r="93" spans="1:12">
      <c r="A93" s="19"/>
      <c r="B93" s="12"/>
      <c r="C93" s="12"/>
      <c r="D93" s="12"/>
      <c r="E93" s="12"/>
      <c r="F93" s="12"/>
      <c r="G93" s="13"/>
      <c r="H93" s="23"/>
      <c r="I93" s="12"/>
      <c r="J93" s="12"/>
      <c r="K93" s="13"/>
      <c r="L93" s="19"/>
    </row>
    <row r="94" spans="1:12">
      <c r="A94" s="19"/>
      <c r="B94" s="12"/>
      <c r="C94" s="12"/>
      <c r="D94" s="12"/>
      <c r="E94" s="12"/>
      <c r="F94" s="12"/>
      <c r="G94" s="13"/>
      <c r="H94" s="23"/>
      <c r="I94" s="12"/>
      <c r="J94" s="12"/>
      <c r="K94" s="13"/>
      <c r="L94" s="19"/>
    </row>
    <row r="95" spans="1:12">
      <c r="A95" s="19"/>
      <c r="B95" s="12"/>
      <c r="C95" s="12"/>
      <c r="D95" s="12"/>
      <c r="E95" s="12"/>
      <c r="F95" s="12"/>
      <c r="G95" s="13"/>
      <c r="H95" s="23"/>
      <c r="I95" s="12"/>
      <c r="J95" s="12"/>
      <c r="K95" s="13"/>
      <c r="L95" s="19"/>
    </row>
    <row r="96" spans="1:12">
      <c r="A96" s="19"/>
      <c r="B96" s="12"/>
      <c r="C96" s="12"/>
      <c r="D96" s="12"/>
      <c r="E96" s="12"/>
      <c r="F96" s="12"/>
      <c r="G96" s="13"/>
      <c r="H96" s="23"/>
      <c r="I96" s="12"/>
      <c r="J96" s="12"/>
      <c r="K96" s="13"/>
      <c r="L96" s="19"/>
    </row>
    <row r="97" spans="1:12">
      <c r="A97" s="19"/>
      <c r="B97" s="12"/>
      <c r="C97" s="12"/>
      <c r="D97" s="12"/>
      <c r="E97" s="12"/>
      <c r="F97" s="12"/>
      <c r="G97" s="13"/>
      <c r="H97" s="23"/>
      <c r="I97" s="12"/>
      <c r="J97" s="12"/>
      <c r="K97" s="13"/>
      <c r="L97" s="19"/>
    </row>
    <row r="98" spans="1:12">
      <c r="A98" s="19"/>
      <c r="B98" s="12"/>
      <c r="C98" s="12"/>
      <c r="D98" s="12"/>
      <c r="E98" s="12"/>
      <c r="F98" s="12"/>
      <c r="G98" s="13"/>
      <c r="H98" s="23"/>
      <c r="I98" s="12"/>
      <c r="J98" s="12"/>
      <c r="K98" s="13"/>
      <c r="L98" s="19"/>
    </row>
    <row r="99" spans="1:12">
      <c r="A99" s="19"/>
      <c r="B99" s="12"/>
      <c r="C99" s="12"/>
      <c r="D99" s="12"/>
      <c r="E99" s="12"/>
      <c r="F99" s="12"/>
      <c r="G99" s="13"/>
      <c r="H99" s="23"/>
      <c r="I99" s="12"/>
      <c r="J99" s="12"/>
      <c r="K99" s="13"/>
      <c r="L99" s="19"/>
    </row>
    <row r="100" spans="1:12">
      <c r="A100" s="19"/>
      <c r="B100" s="12"/>
      <c r="C100" s="12"/>
      <c r="D100" s="12"/>
      <c r="E100" s="12"/>
      <c r="F100" s="12"/>
      <c r="G100" s="13"/>
      <c r="H100" s="23"/>
      <c r="I100" s="12"/>
      <c r="J100" s="12"/>
      <c r="K100" s="13"/>
      <c r="L100" s="19"/>
    </row>
    <row r="101" spans="1:12">
      <c r="A101" s="19"/>
      <c r="B101" s="12"/>
      <c r="C101" s="12"/>
      <c r="D101" s="12"/>
      <c r="E101" s="12"/>
      <c r="F101" s="12"/>
      <c r="G101" s="13"/>
      <c r="H101" s="23"/>
      <c r="I101" s="12"/>
      <c r="J101" s="12"/>
      <c r="K101" s="13"/>
      <c r="L101" s="19"/>
    </row>
    <row r="102" spans="1:12">
      <c r="A102" s="19"/>
      <c r="B102" s="12"/>
      <c r="C102" s="12"/>
      <c r="D102" s="12"/>
      <c r="E102" s="12"/>
      <c r="F102" s="12"/>
      <c r="G102" s="13"/>
      <c r="H102" s="23"/>
      <c r="I102" s="12"/>
      <c r="J102" s="12"/>
      <c r="K102" s="13"/>
      <c r="L102" s="19"/>
    </row>
    <row r="103" spans="1:12">
      <c r="A103" s="19"/>
      <c r="B103" s="12"/>
      <c r="C103" s="12"/>
      <c r="D103" s="12"/>
      <c r="E103" s="12"/>
      <c r="F103" s="12"/>
      <c r="G103" s="13"/>
      <c r="H103" s="23"/>
      <c r="I103" s="12"/>
      <c r="J103" s="12"/>
      <c r="K103" s="13"/>
      <c r="L103" s="19"/>
    </row>
    <row r="104" spans="1:12">
      <c r="A104" s="19"/>
      <c r="B104" s="12"/>
      <c r="C104" s="12"/>
      <c r="D104" s="12"/>
      <c r="E104" s="12"/>
      <c r="F104" s="12"/>
      <c r="G104" s="13"/>
      <c r="H104" s="23"/>
      <c r="I104" s="12"/>
      <c r="J104" s="12"/>
      <c r="K104" s="13"/>
      <c r="L104" s="19"/>
    </row>
    <row r="105" spans="1:12">
      <c r="A105" s="19"/>
      <c r="B105" s="12"/>
      <c r="C105" s="12"/>
      <c r="D105" s="12"/>
      <c r="E105" s="12"/>
      <c r="F105" s="12"/>
      <c r="G105" s="13"/>
      <c r="H105" s="23"/>
      <c r="I105" s="12"/>
      <c r="J105" s="12"/>
      <c r="K105" s="13"/>
      <c r="L105" s="19"/>
    </row>
    <row r="106" spans="1:12">
      <c r="A106" s="19"/>
      <c r="B106" s="12"/>
      <c r="C106" s="12"/>
      <c r="D106" s="12"/>
      <c r="E106" s="12"/>
      <c r="F106" s="12"/>
      <c r="G106" s="13"/>
      <c r="H106" s="23"/>
      <c r="I106" s="12"/>
      <c r="J106" s="12"/>
      <c r="K106" s="13"/>
      <c r="L106" s="19"/>
    </row>
    <row r="107" spans="1:12">
      <c r="A107" s="19"/>
      <c r="B107" s="12"/>
      <c r="C107" s="12"/>
      <c r="D107" s="12"/>
      <c r="E107" s="12"/>
      <c r="F107" s="12"/>
      <c r="G107" s="13"/>
      <c r="H107" s="23"/>
      <c r="I107" s="12"/>
      <c r="J107" s="12"/>
      <c r="K107" s="13"/>
      <c r="L107" s="19"/>
    </row>
    <row r="108" spans="1:12">
      <c r="A108" s="19"/>
      <c r="B108" s="12"/>
      <c r="C108" s="12"/>
      <c r="D108" s="12"/>
      <c r="E108" s="12"/>
      <c r="F108" s="12"/>
      <c r="G108" s="13"/>
      <c r="H108" s="23"/>
      <c r="I108" s="12"/>
      <c r="J108" s="12"/>
      <c r="K108" s="13"/>
      <c r="L108" s="19"/>
    </row>
    <row r="109" spans="1:12">
      <c r="A109" s="19"/>
      <c r="B109" s="12"/>
      <c r="C109" s="12"/>
      <c r="D109" s="12"/>
      <c r="E109" s="12"/>
      <c r="F109" s="12"/>
      <c r="G109" s="13"/>
      <c r="H109" s="23"/>
      <c r="I109" s="12"/>
      <c r="J109" s="12"/>
      <c r="K109" s="13"/>
      <c r="L109" s="19"/>
    </row>
    <row r="110" spans="1:12">
      <c r="A110" s="19"/>
      <c r="B110" s="12"/>
      <c r="C110" s="12"/>
      <c r="D110" s="12"/>
      <c r="E110" s="12"/>
      <c r="F110" s="12"/>
      <c r="G110" s="13"/>
      <c r="H110" s="23"/>
      <c r="I110" s="12"/>
      <c r="J110" s="12"/>
      <c r="K110" s="13"/>
      <c r="L110" s="19"/>
    </row>
    <row r="111" spans="1:12">
      <c r="A111" s="19"/>
      <c r="B111" s="12"/>
      <c r="C111" s="12"/>
      <c r="D111" s="12"/>
      <c r="E111" s="12"/>
      <c r="F111" s="12"/>
      <c r="G111" s="13"/>
      <c r="H111" s="23"/>
      <c r="I111" s="12"/>
      <c r="J111" s="12"/>
      <c r="K111" s="13"/>
      <c r="L111" s="19"/>
    </row>
    <row r="112" spans="1:12">
      <c r="A112" s="19"/>
      <c r="B112" s="12"/>
      <c r="C112" s="12"/>
      <c r="D112" s="12"/>
      <c r="E112" s="12"/>
      <c r="F112" s="12"/>
      <c r="G112" s="13"/>
      <c r="H112" s="23"/>
      <c r="I112" s="12"/>
      <c r="J112" s="12"/>
      <c r="K112" s="13"/>
      <c r="L112" s="19"/>
    </row>
    <row r="113" spans="1:12">
      <c r="A113" s="19"/>
      <c r="B113" s="12"/>
      <c r="C113" s="12"/>
      <c r="D113" s="12"/>
      <c r="E113" s="12"/>
      <c r="F113" s="12"/>
      <c r="G113" s="13"/>
      <c r="H113" s="23"/>
      <c r="I113" s="12"/>
      <c r="J113" s="12"/>
      <c r="K113" s="13"/>
      <c r="L113" s="19"/>
    </row>
    <row r="114" spans="1:12">
      <c r="A114" s="19"/>
      <c r="B114" s="12"/>
      <c r="C114" s="12"/>
      <c r="D114" s="12"/>
      <c r="E114" s="12"/>
      <c r="F114" s="12"/>
      <c r="G114" s="13"/>
      <c r="H114" s="23"/>
      <c r="I114" s="12"/>
      <c r="J114" s="12"/>
      <c r="K114" s="13"/>
      <c r="L114" s="19"/>
    </row>
    <row r="115" spans="1:12">
      <c r="A115" s="19"/>
      <c r="B115" s="12"/>
      <c r="C115" s="12"/>
      <c r="D115" s="12"/>
      <c r="E115" s="12"/>
      <c r="F115" s="12"/>
      <c r="G115" s="13"/>
      <c r="H115" s="23"/>
      <c r="I115" s="12"/>
      <c r="J115" s="12"/>
      <c r="K115" s="13"/>
      <c r="L115" s="19"/>
    </row>
    <row r="116" spans="1:12">
      <c r="A116" s="19"/>
      <c r="B116" s="12"/>
      <c r="C116" s="12"/>
      <c r="D116" s="12"/>
      <c r="E116" s="12"/>
      <c r="F116" s="12"/>
      <c r="G116" s="13"/>
      <c r="H116" s="23"/>
      <c r="I116" s="12"/>
      <c r="J116" s="12"/>
      <c r="K116" s="13"/>
      <c r="L116" s="19"/>
    </row>
    <row r="117" spans="1:12">
      <c r="A117" s="19"/>
      <c r="B117" s="12"/>
      <c r="C117" s="12"/>
      <c r="D117" s="12"/>
      <c r="E117" s="12"/>
      <c r="F117" s="12"/>
      <c r="G117" s="13"/>
      <c r="H117" s="23"/>
      <c r="I117" s="12"/>
      <c r="J117" s="12"/>
      <c r="K117" s="13"/>
      <c r="L117" s="19"/>
    </row>
    <row r="118" spans="1:12">
      <c r="A118" s="19"/>
      <c r="B118" s="12"/>
      <c r="C118" s="12"/>
      <c r="D118" s="12"/>
      <c r="E118" s="12"/>
      <c r="F118" s="12"/>
      <c r="G118" s="13"/>
      <c r="H118" s="23"/>
      <c r="I118" s="12"/>
      <c r="J118" s="12"/>
      <c r="K118" s="13"/>
      <c r="L118" s="19"/>
    </row>
    <row r="119" spans="1:12">
      <c r="A119" s="19"/>
      <c r="B119" s="12"/>
      <c r="C119" s="12"/>
      <c r="D119" s="12"/>
      <c r="E119" s="12"/>
      <c r="F119" s="12"/>
      <c r="G119" s="13"/>
      <c r="H119" s="23"/>
      <c r="I119" s="12"/>
      <c r="J119" s="12"/>
      <c r="K119" s="13"/>
      <c r="L119" s="19"/>
    </row>
    <row r="120" spans="1:12">
      <c r="A120" s="19"/>
      <c r="B120" s="12"/>
      <c r="C120" s="12"/>
      <c r="D120" s="12"/>
      <c r="E120" s="12"/>
      <c r="F120" s="12"/>
      <c r="G120" s="13"/>
      <c r="H120" s="23"/>
      <c r="I120" s="12"/>
      <c r="J120" s="12"/>
      <c r="K120" s="13"/>
      <c r="L120" s="19"/>
    </row>
    <row r="121" spans="1:12">
      <c r="A121" s="19"/>
      <c r="B121" s="12"/>
      <c r="C121" s="12"/>
      <c r="D121" s="12"/>
      <c r="E121" s="12"/>
      <c r="F121" s="12"/>
      <c r="G121" s="13"/>
      <c r="H121" s="23"/>
      <c r="I121" s="12"/>
      <c r="J121" s="12"/>
      <c r="K121" s="13"/>
      <c r="L121" s="19"/>
    </row>
    <row r="122" spans="1:12">
      <c r="A122" s="19"/>
      <c r="B122" s="12"/>
      <c r="C122" s="12"/>
      <c r="D122" s="12"/>
      <c r="E122" s="12"/>
      <c r="F122" s="12"/>
      <c r="G122" s="13"/>
      <c r="H122" s="23"/>
      <c r="I122" s="12"/>
      <c r="J122" s="12"/>
      <c r="K122" s="13"/>
      <c r="L122" s="19"/>
    </row>
    <row r="123" spans="1:12">
      <c r="A123" s="19"/>
      <c r="B123" s="12"/>
      <c r="C123" s="12"/>
      <c r="D123" s="12"/>
      <c r="E123" s="12"/>
      <c r="F123" s="12"/>
      <c r="G123" s="13"/>
      <c r="H123" s="23"/>
      <c r="I123" s="12"/>
      <c r="J123" s="12"/>
      <c r="K123" s="13"/>
      <c r="L123" s="19"/>
    </row>
    <row r="124" spans="1:12">
      <c r="A124" s="19"/>
      <c r="B124" s="12"/>
      <c r="C124" s="12"/>
      <c r="D124" s="12"/>
      <c r="E124" s="12"/>
      <c r="F124" s="12"/>
      <c r="G124" s="13"/>
      <c r="H124" s="23"/>
      <c r="I124" s="12"/>
      <c r="J124" s="12"/>
      <c r="K124" s="13"/>
      <c r="L124" s="19"/>
    </row>
    <row r="125" spans="1:12">
      <c r="A125" s="19"/>
      <c r="B125" s="12"/>
      <c r="C125" s="12"/>
      <c r="D125" s="12"/>
      <c r="E125" s="12"/>
      <c r="F125" s="12"/>
      <c r="G125" s="13"/>
      <c r="H125" s="23"/>
      <c r="I125" s="12"/>
      <c r="J125" s="12"/>
      <c r="K125" s="13"/>
      <c r="L125" s="19"/>
    </row>
    <row r="126" spans="1:12">
      <c r="A126" s="19"/>
      <c r="B126" s="12"/>
      <c r="C126" s="12"/>
      <c r="D126" s="12"/>
      <c r="E126" s="12"/>
      <c r="F126" s="12"/>
      <c r="G126" s="13"/>
      <c r="H126" s="23"/>
      <c r="I126" s="12"/>
      <c r="J126" s="12"/>
      <c r="K126" s="13"/>
      <c r="L126" s="19"/>
    </row>
    <row r="127" spans="1:12">
      <c r="A127" s="19"/>
      <c r="B127" s="12"/>
      <c r="C127" s="12"/>
      <c r="D127" s="12"/>
      <c r="E127" s="12"/>
      <c r="F127" s="12"/>
      <c r="G127" s="13"/>
      <c r="H127" s="23"/>
      <c r="I127" s="12"/>
      <c r="J127" s="12"/>
      <c r="K127" s="13"/>
      <c r="L127" s="19"/>
    </row>
    <row r="128" spans="1:12">
      <c r="A128" s="19"/>
      <c r="B128" s="12"/>
      <c r="C128" s="12"/>
      <c r="D128" s="12"/>
      <c r="E128" s="12"/>
      <c r="F128" s="12"/>
      <c r="G128" s="13"/>
      <c r="H128" s="23"/>
      <c r="I128" s="12"/>
      <c r="J128" s="12"/>
      <c r="K128" s="13"/>
      <c r="L128" s="19"/>
    </row>
    <row r="129" spans="1:12">
      <c r="A129" s="19"/>
      <c r="B129" s="12"/>
      <c r="C129" s="12"/>
      <c r="D129" s="12"/>
      <c r="E129" s="12"/>
      <c r="F129" s="12"/>
      <c r="G129" s="13"/>
      <c r="H129" s="23"/>
      <c r="I129" s="12"/>
      <c r="J129" s="12"/>
      <c r="K129" s="13"/>
      <c r="L129" s="19"/>
    </row>
    <row r="130" spans="1:12">
      <c r="A130" s="19"/>
      <c r="B130" s="12"/>
      <c r="C130" s="12"/>
      <c r="D130" s="12"/>
      <c r="E130" s="12"/>
      <c r="F130" s="12"/>
      <c r="G130" s="13"/>
      <c r="H130" s="23"/>
      <c r="I130" s="12"/>
      <c r="J130" s="12"/>
      <c r="K130" s="13"/>
      <c r="L130" s="19"/>
    </row>
    <row r="131" spans="1:12">
      <c r="A131" s="19"/>
      <c r="B131" s="12"/>
      <c r="C131" s="12"/>
      <c r="D131" s="12"/>
      <c r="E131" s="12"/>
      <c r="F131" s="12"/>
      <c r="G131" s="13"/>
      <c r="H131" s="23"/>
      <c r="I131" s="12"/>
      <c r="J131" s="12"/>
      <c r="K131" s="13"/>
      <c r="L131" s="19"/>
    </row>
    <row r="132" spans="1:12">
      <c r="A132" s="19"/>
      <c r="B132" s="12"/>
      <c r="C132" s="12"/>
      <c r="D132" s="12"/>
      <c r="E132" s="12"/>
      <c r="F132" s="12"/>
      <c r="G132" s="13"/>
      <c r="H132" s="23"/>
      <c r="I132" s="12"/>
      <c r="J132" s="12"/>
      <c r="K132" s="13"/>
      <c r="L132" s="19"/>
    </row>
    <row r="133" spans="1:12">
      <c r="A133" s="19"/>
      <c r="B133" s="12"/>
      <c r="C133" s="12"/>
      <c r="D133" s="12"/>
      <c r="E133" s="12"/>
      <c r="F133" s="12"/>
      <c r="G133" s="13"/>
      <c r="H133" s="23"/>
      <c r="I133" s="12"/>
      <c r="J133" s="12"/>
      <c r="K133" s="13"/>
      <c r="L133" s="19"/>
    </row>
    <row r="134" spans="1:12">
      <c r="A134" s="19"/>
      <c r="B134" s="12"/>
      <c r="C134" s="12"/>
      <c r="D134" s="12"/>
      <c r="E134" s="12"/>
      <c r="F134" s="12"/>
      <c r="G134" s="13"/>
      <c r="H134" s="23"/>
      <c r="I134" s="12"/>
      <c r="J134" s="12"/>
      <c r="K134" s="13"/>
      <c r="L134" s="19"/>
    </row>
    <row r="135" spans="1:12">
      <c r="A135" s="19"/>
      <c r="B135" s="12"/>
      <c r="C135" s="12"/>
      <c r="D135" s="12"/>
      <c r="E135" s="12"/>
      <c r="F135" s="12"/>
      <c r="G135" s="13"/>
      <c r="H135" s="23"/>
      <c r="I135" s="12"/>
      <c r="J135" s="12"/>
      <c r="K135" s="13"/>
      <c r="L135" s="19"/>
    </row>
    <row r="136" spans="1:12">
      <c r="A136" s="19"/>
      <c r="B136" s="12"/>
      <c r="C136" s="12"/>
      <c r="D136" s="12"/>
      <c r="E136" s="12"/>
      <c r="F136" s="12"/>
      <c r="G136" s="13"/>
      <c r="H136" s="23"/>
      <c r="I136" s="12"/>
      <c r="J136" s="12"/>
      <c r="K136" s="13"/>
      <c r="L136" s="19"/>
    </row>
    <row r="137" spans="1:12">
      <c r="A137" s="19"/>
      <c r="B137" s="12"/>
      <c r="C137" s="12"/>
      <c r="D137" s="12"/>
      <c r="E137" s="12"/>
      <c r="F137" s="12"/>
      <c r="G137" s="13"/>
      <c r="H137" s="23"/>
      <c r="I137" s="12"/>
      <c r="J137" s="12"/>
      <c r="K137" s="13"/>
      <c r="L137" s="19"/>
    </row>
    <row r="138" spans="1:12">
      <c r="A138" s="19"/>
      <c r="B138" s="12"/>
      <c r="C138" s="12"/>
      <c r="D138" s="12"/>
      <c r="E138" s="12"/>
      <c r="F138" s="12"/>
      <c r="G138" s="13"/>
      <c r="H138" s="23"/>
      <c r="I138" s="12"/>
      <c r="J138" s="12"/>
      <c r="K138" s="13"/>
      <c r="L138" s="19"/>
    </row>
    <row r="139" spans="1:12">
      <c r="A139" s="19"/>
      <c r="B139" s="12"/>
      <c r="C139" s="12"/>
      <c r="D139" s="12"/>
      <c r="E139" s="12"/>
      <c r="F139" s="12"/>
      <c r="G139" s="13"/>
      <c r="H139" s="23"/>
      <c r="I139" s="12"/>
      <c r="J139" s="12"/>
      <c r="K139" s="13"/>
      <c r="L139" s="19"/>
    </row>
    <row r="140" spans="1:12">
      <c r="A140" s="19"/>
      <c r="B140" s="12"/>
      <c r="C140" s="12"/>
      <c r="D140" s="12"/>
      <c r="E140" s="12"/>
      <c r="F140" s="12"/>
      <c r="G140" s="13"/>
      <c r="H140" s="23"/>
      <c r="I140" s="12"/>
      <c r="J140" s="12"/>
      <c r="K140" s="13"/>
      <c r="L140" s="19"/>
    </row>
    <row r="141" spans="1:12">
      <c r="A141" s="19"/>
      <c r="B141" s="12"/>
      <c r="C141" s="12"/>
      <c r="D141" s="12"/>
      <c r="E141" s="12"/>
      <c r="F141" s="12"/>
      <c r="G141" s="13"/>
      <c r="H141" s="23"/>
      <c r="I141" s="12"/>
      <c r="J141" s="12"/>
      <c r="K141" s="13"/>
      <c r="L141" s="19"/>
    </row>
    <row r="142" spans="1:12">
      <c r="A142" s="19"/>
      <c r="B142" s="12"/>
      <c r="C142" s="12"/>
      <c r="D142" s="12"/>
      <c r="E142" s="12"/>
      <c r="F142" s="12"/>
      <c r="G142" s="13"/>
      <c r="H142" s="23"/>
      <c r="I142" s="12"/>
      <c r="J142" s="12"/>
      <c r="K142" s="13"/>
      <c r="L142" s="19"/>
    </row>
    <row r="143" spans="1:12">
      <c r="A143" s="19"/>
      <c r="B143" s="12"/>
      <c r="C143" s="12"/>
      <c r="D143" s="12"/>
      <c r="E143" s="12"/>
      <c r="F143" s="12"/>
      <c r="G143" s="13"/>
      <c r="H143" s="23"/>
      <c r="I143" s="12"/>
      <c r="J143" s="12"/>
      <c r="K143" s="13"/>
      <c r="L143" s="19"/>
    </row>
    <row r="144" spans="1:12">
      <c r="A144" s="19"/>
      <c r="B144" s="12"/>
      <c r="C144" s="12"/>
      <c r="D144" s="12"/>
      <c r="E144" s="12"/>
      <c r="F144" s="12"/>
      <c r="G144" s="13"/>
      <c r="H144" s="23"/>
      <c r="I144" s="12"/>
      <c r="J144" s="12"/>
      <c r="K144" s="13"/>
      <c r="L144" s="19"/>
    </row>
    <row r="145" spans="1:12">
      <c r="A145" s="19"/>
      <c r="B145" s="12"/>
      <c r="C145" s="12"/>
      <c r="D145" s="12"/>
      <c r="E145" s="12"/>
      <c r="F145" s="12"/>
      <c r="G145" s="13"/>
      <c r="H145" s="23"/>
      <c r="I145" s="12"/>
      <c r="J145" s="12"/>
      <c r="K145" s="13"/>
      <c r="L145" s="19"/>
    </row>
    <row r="146" spans="1:12">
      <c r="A146" s="19"/>
      <c r="B146" s="12"/>
      <c r="C146" s="12"/>
      <c r="D146" s="12"/>
      <c r="E146" s="12"/>
      <c r="F146" s="12"/>
      <c r="G146" s="13"/>
      <c r="H146" s="23"/>
      <c r="I146" s="12"/>
      <c r="J146" s="12"/>
      <c r="K146" s="13"/>
      <c r="L146" s="19"/>
    </row>
    <row r="147" spans="1:12">
      <c r="A147" s="19"/>
      <c r="B147" s="12"/>
      <c r="C147" s="12"/>
      <c r="D147" s="12"/>
      <c r="E147" s="12"/>
      <c r="F147" s="12"/>
      <c r="G147" s="13"/>
      <c r="H147" s="23"/>
      <c r="I147" s="12"/>
      <c r="J147" s="12"/>
      <c r="K147" s="13"/>
      <c r="L147" s="19"/>
    </row>
    <row r="148" spans="1:12">
      <c r="A148" s="19"/>
      <c r="B148" s="12"/>
      <c r="C148" s="12"/>
      <c r="D148" s="12"/>
      <c r="E148" s="12"/>
      <c r="F148" s="12"/>
      <c r="G148" s="13"/>
      <c r="H148" s="23"/>
      <c r="I148" s="12"/>
      <c r="J148" s="12"/>
      <c r="K148" s="13"/>
      <c r="L148" s="19"/>
    </row>
    <row r="149" spans="1:12">
      <c r="A149" s="19"/>
      <c r="B149" s="12"/>
      <c r="C149" s="12"/>
      <c r="D149" s="12"/>
      <c r="E149" s="12"/>
      <c r="F149" s="12"/>
      <c r="G149" s="13"/>
      <c r="H149" s="23"/>
      <c r="I149" s="12"/>
      <c r="J149" s="12"/>
      <c r="K149" s="13"/>
      <c r="L149" s="19"/>
    </row>
    <row r="150" spans="1:12">
      <c r="A150" s="19"/>
      <c r="B150" s="12"/>
      <c r="C150" s="12"/>
      <c r="D150" s="12"/>
      <c r="E150" s="12"/>
      <c r="F150" s="12"/>
      <c r="G150" s="13"/>
      <c r="H150" s="23"/>
      <c r="I150" s="12"/>
      <c r="J150" s="12"/>
      <c r="K150" s="13"/>
      <c r="L150" s="19"/>
    </row>
    <row r="151" spans="1:12">
      <c r="A151" s="19"/>
      <c r="B151" s="12"/>
      <c r="C151" s="12"/>
      <c r="D151" s="12"/>
      <c r="E151" s="12"/>
      <c r="F151" s="12"/>
      <c r="G151" s="13"/>
      <c r="H151" s="23"/>
      <c r="I151" s="12"/>
      <c r="J151" s="12"/>
      <c r="K151" s="13"/>
      <c r="L151" s="19"/>
    </row>
    <row r="152" spans="1:12">
      <c r="A152" s="19"/>
      <c r="B152" s="12"/>
      <c r="C152" s="12"/>
      <c r="D152" s="12"/>
      <c r="E152" s="12"/>
      <c r="F152" s="12"/>
      <c r="G152" s="13"/>
      <c r="H152" s="23"/>
      <c r="I152" s="12"/>
      <c r="J152" s="12"/>
      <c r="K152" s="13"/>
      <c r="L152" s="19"/>
    </row>
    <row r="153" spans="1:12">
      <c r="A153" s="19"/>
      <c r="B153" s="12"/>
      <c r="C153" s="12"/>
      <c r="D153" s="12"/>
      <c r="E153" s="12"/>
      <c r="F153" s="12"/>
      <c r="G153" s="13"/>
      <c r="H153" s="23"/>
      <c r="I153" s="12"/>
      <c r="J153" s="12"/>
      <c r="K153" s="13"/>
      <c r="L153" s="19"/>
    </row>
    <row r="154" spans="1:12">
      <c r="A154" s="19"/>
      <c r="B154" s="12"/>
      <c r="C154" s="12"/>
      <c r="D154" s="12"/>
      <c r="E154" s="12"/>
      <c r="F154" s="12"/>
      <c r="G154" s="13"/>
      <c r="H154" s="23"/>
      <c r="I154" s="12"/>
      <c r="J154" s="12"/>
      <c r="K154" s="13"/>
      <c r="L154" s="19"/>
    </row>
    <row r="155" spans="1:12">
      <c r="A155" s="19"/>
      <c r="B155" s="12"/>
      <c r="C155" s="12"/>
      <c r="D155" s="12"/>
      <c r="E155" s="12"/>
      <c r="F155" s="12"/>
      <c r="G155" s="13"/>
      <c r="H155" s="23"/>
      <c r="I155" s="12"/>
      <c r="J155" s="12"/>
      <c r="K155" s="13"/>
      <c r="L155" s="19"/>
    </row>
    <row r="156" spans="1:12">
      <c r="A156" s="19"/>
      <c r="B156" s="12"/>
      <c r="C156" s="12"/>
      <c r="D156" s="12"/>
      <c r="E156" s="12"/>
      <c r="F156" s="12"/>
      <c r="G156" s="13"/>
      <c r="H156" s="23"/>
      <c r="I156" s="12"/>
      <c r="J156" s="12"/>
      <c r="K156" s="13"/>
      <c r="L156" s="19"/>
    </row>
    <row r="157" spans="1:12">
      <c r="A157" s="19"/>
      <c r="B157" s="12"/>
      <c r="C157" s="12"/>
      <c r="D157" s="12"/>
      <c r="E157" s="12"/>
      <c r="F157" s="12"/>
      <c r="G157" s="13"/>
      <c r="H157" s="23"/>
      <c r="I157" s="12"/>
      <c r="J157" s="12"/>
      <c r="K157" s="13"/>
      <c r="L157" s="19"/>
    </row>
    <row r="158" spans="1:12">
      <c r="A158" s="19"/>
      <c r="B158" s="12"/>
      <c r="C158" s="12"/>
      <c r="D158" s="12"/>
      <c r="E158" s="12"/>
      <c r="F158" s="12"/>
      <c r="G158" s="13"/>
      <c r="H158" s="23"/>
      <c r="I158" s="12"/>
      <c r="J158" s="12"/>
      <c r="K158" s="13"/>
      <c r="L158" s="19"/>
    </row>
    <row r="159" spans="1:12">
      <c r="A159" s="19"/>
      <c r="B159" s="12"/>
      <c r="C159" s="12"/>
      <c r="D159" s="12"/>
      <c r="E159" s="12"/>
      <c r="F159" s="12"/>
      <c r="G159" s="13"/>
      <c r="H159" s="23"/>
      <c r="I159" s="12"/>
      <c r="J159" s="12"/>
      <c r="K159" s="13"/>
      <c r="L159" s="19"/>
    </row>
    <row r="160" spans="1:12">
      <c r="A160" s="19"/>
      <c r="B160" s="12"/>
      <c r="C160" s="12"/>
      <c r="D160" s="12"/>
      <c r="E160" s="12"/>
      <c r="F160" s="12"/>
      <c r="G160" s="13"/>
      <c r="H160" s="23"/>
      <c r="I160" s="12"/>
      <c r="J160" s="12"/>
      <c r="K160" s="13"/>
      <c r="L160" s="19"/>
    </row>
    <row r="161" spans="1:12">
      <c r="A161" s="19"/>
      <c r="B161" s="12"/>
      <c r="C161" s="12"/>
      <c r="D161" s="12"/>
      <c r="E161" s="12"/>
      <c r="F161" s="12"/>
      <c r="G161" s="13"/>
      <c r="H161" s="23"/>
      <c r="I161" s="12"/>
      <c r="J161" s="12"/>
      <c r="K161" s="13"/>
      <c r="L161" s="19"/>
    </row>
    <row r="162" spans="1:12">
      <c r="A162" s="19"/>
      <c r="B162" s="12"/>
      <c r="C162" s="12"/>
      <c r="D162" s="12"/>
      <c r="E162" s="12"/>
      <c r="F162" s="12"/>
      <c r="G162" s="13"/>
      <c r="H162" s="23"/>
      <c r="I162" s="12"/>
      <c r="J162" s="12"/>
      <c r="K162" s="13"/>
      <c r="L162" s="19"/>
    </row>
    <row r="163" spans="1:12">
      <c r="A163" s="19"/>
      <c r="B163" s="12"/>
      <c r="C163" s="12"/>
      <c r="D163" s="12"/>
      <c r="E163" s="12"/>
      <c r="F163" s="12"/>
      <c r="G163" s="13"/>
      <c r="H163" s="23"/>
      <c r="I163" s="12"/>
      <c r="J163" s="12"/>
      <c r="K163" s="13"/>
      <c r="L163" s="19"/>
    </row>
    <row r="164" spans="1:12">
      <c r="A164" s="19"/>
      <c r="B164" s="12"/>
      <c r="C164" s="12"/>
      <c r="D164" s="12"/>
      <c r="E164" s="12"/>
      <c r="F164" s="12"/>
      <c r="G164" s="13"/>
      <c r="H164" s="23"/>
      <c r="I164" s="12"/>
      <c r="J164" s="12"/>
      <c r="K164" s="13"/>
      <c r="L164" s="19"/>
    </row>
    <row r="165" spans="1:12">
      <c r="A165" s="19"/>
      <c r="B165" s="12"/>
      <c r="C165" s="12"/>
      <c r="D165" s="12"/>
      <c r="E165" s="12"/>
      <c r="F165" s="12"/>
      <c r="G165" s="13"/>
      <c r="H165" s="23"/>
      <c r="I165" s="12"/>
      <c r="J165" s="12"/>
      <c r="K165" s="13"/>
      <c r="L165" s="19"/>
    </row>
    <row r="166" spans="1:12">
      <c r="A166" s="19"/>
      <c r="B166" s="12"/>
      <c r="C166" s="12"/>
      <c r="D166" s="12"/>
      <c r="E166" s="12"/>
      <c r="F166" s="12"/>
      <c r="G166" s="13"/>
      <c r="H166" s="23"/>
      <c r="I166" s="12"/>
      <c r="J166" s="12"/>
      <c r="K166" s="13"/>
      <c r="L166" s="19"/>
    </row>
    <row r="167" spans="1:12">
      <c r="A167" s="19"/>
      <c r="B167" s="12"/>
      <c r="C167" s="12"/>
      <c r="D167" s="12"/>
      <c r="E167" s="12"/>
      <c r="F167" s="12"/>
      <c r="G167" s="13"/>
      <c r="H167" s="23"/>
      <c r="I167" s="12"/>
      <c r="J167" s="12"/>
      <c r="K167" s="13"/>
      <c r="L167" s="19"/>
    </row>
    <row r="168" spans="1:12">
      <c r="A168" s="19"/>
      <c r="B168" s="12"/>
      <c r="C168" s="12"/>
      <c r="D168" s="12"/>
      <c r="E168" s="12"/>
      <c r="F168" s="12"/>
      <c r="G168" s="13"/>
      <c r="H168" s="23"/>
      <c r="I168" s="12"/>
      <c r="J168" s="12"/>
      <c r="K168" s="13"/>
      <c r="L168" s="19"/>
    </row>
    <row r="169" spans="1:12">
      <c r="A169" s="19"/>
      <c r="B169" s="12"/>
      <c r="C169" s="12"/>
      <c r="D169" s="12"/>
      <c r="E169" s="12"/>
      <c r="F169" s="12"/>
      <c r="G169" s="13"/>
      <c r="H169" s="23"/>
      <c r="I169" s="12"/>
      <c r="J169" s="12"/>
      <c r="K169" s="13"/>
      <c r="L169" s="19"/>
    </row>
    <row r="170" spans="1:12">
      <c r="A170" s="19"/>
      <c r="B170" s="12"/>
      <c r="C170" s="12"/>
      <c r="D170" s="12"/>
      <c r="E170" s="12"/>
      <c r="F170" s="12"/>
      <c r="G170" s="13"/>
      <c r="H170" s="23"/>
      <c r="I170" s="12"/>
      <c r="J170" s="12"/>
      <c r="K170" s="13"/>
      <c r="L170" s="19"/>
    </row>
    <row r="171" spans="1:12">
      <c r="A171" s="19"/>
      <c r="B171" s="12"/>
      <c r="C171" s="12"/>
      <c r="D171" s="12"/>
      <c r="E171" s="12"/>
      <c r="F171" s="12"/>
      <c r="G171" s="13"/>
      <c r="H171" s="23"/>
      <c r="I171" s="12"/>
      <c r="J171" s="12"/>
      <c r="K171" s="13"/>
      <c r="L171" s="19"/>
    </row>
    <row r="172" spans="1:12">
      <c r="A172" s="19"/>
      <c r="B172" s="12"/>
      <c r="C172" s="12"/>
      <c r="D172" s="12"/>
      <c r="E172" s="12"/>
      <c r="F172" s="12"/>
      <c r="G172" s="13"/>
      <c r="H172" s="23"/>
      <c r="I172" s="12"/>
      <c r="J172" s="12"/>
      <c r="K172" s="13"/>
      <c r="L172" s="19"/>
    </row>
    <row r="173" spans="1:12">
      <c r="A173" s="19"/>
      <c r="B173" s="12"/>
      <c r="C173" s="12"/>
      <c r="D173" s="12"/>
      <c r="E173" s="12"/>
      <c r="F173" s="12"/>
      <c r="G173" s="13"/>
      <c r="H173" s="23"/>
      <c r="I173" s="12"/>
      <c r="J173" s="12"/>
      <c r="K173" s="13"/>
      <c r="L173" s="19"/>
    </row>
    <row r="174" spans="1:12">
      <c r="A174" s="19"/>
      <c r="B174" s="12"/>
      <c r="C174" s="12"/>
      <c r="D174" s="12"/>
      <c r="E174" s="12"/>
      <c r="F174" s="12"/>
      <c r="G174" s="13"/>
      <c r="H174" s="23"/>
      <c r="I174" s="12"/>
      <c r="J174" s="12"/>
      <c r="K174" s="13"/>
      <c r="L174" s="19"/>
    </row>
    <row r="175" spans="1:12">
      <c r="A175" s="19"/>
      <c r="B175" s="12"/>
      <c r="C175" s="12"/>
      <c r="D175" s="12"/>
      <c r="E175" s="12"/>
      <c r="F175" s="12"/>
      <c r="G175" s="13"/>
      <c r="H175" s="23"/>
      <c r="I175" s="12"/>
      <c r="J175" s="12"/>
      <c r="K175" s="13"/>
      <c r="L175" s="19"/>
    </row>
    <row r="176" spans="1:12">
      <c r="A176" s="19"/>
      <c r="B176" s="12"/>
      <c r="C176" s="12"/>
      <c r="D176" s="12"/>
      <c r="E176" s="12"/>
      <c r="F176" s="12"/>
      <c r="G176" s="13"/>
      <c r="H176" s="23"/>
      <c r="I176" s="12"/>
      <c r="J176" s="12"/>
      <c r="K176" s="13"/>
      <c r="L176" s="19"/>
    </row>
    <row r="177" spans="1:12">
      <c r="A177" s="19"/>
      <c r="B177" s="12"/>
      <c r="C177" s="12"/>
      <c r="D177" s="12"/>
      <c r="E177" s="12"/>
      <c r="F177" s="12"/>
      <c r="G177" s="13"/>
      <c r="H177" s="23"/>
      <c r="I177" s="12"/>
      <c r="J177" s="12"/>
      <c r="K177" s="13"/>
      <c r="L177" s="19"/>
    </row>
    <row r="178" spans="1:12">
      <c r="A178" s="19"/>
      <c r="B178" s="12"/>
      <c r="C178" s="12"/>
      <c r="D178" s="12"/>
      <c r="E178" s="12"/>
      <c r="F178" s="12"/>
      <c r="G178" s="13"/>
      <c r="H178" s="23"/>
      <c r="I178" s="12"/>
      <c r="J178" s="12"/>
      <c r="K178" s="13"/>
      <c r="L178" s="19"/>
    </row>
    <row r="179" spans="1:12">
      <c r="A179" s="19"/>
      <c r="B179" s="12"/>
      <c r="C179" s="12"/>
      <c r="D179" s="12"/>
      <c r="E179" s="12"/>
      <c r="F179" s="12"/>
      <c r="G179" s="13"/>
      <c r="H179" s="23"/>
      <c r="I179" s="12"/>
      <c r="J179" s="12"/>
      <c r="K179" s="13"/>
      <c r="L179" s="19"/>
    </row>
    <row r="180" spans="1:12">
      <c r="A180" s="19"/>
      <c r="B180" s="12"/>
      <c r="C180" s="12"/>
      <c r="D180" s="12"/>
      <c r="E180" s="12"/>
      <c r="F180" s="12"/>
      <c r="G180" s="13"/>
      <c r="H180" s="23"/>
      <c r="I180" s="12"/>
      <c r="J180" s="12"/>
      <c r="K180" s="13"/>
      <c r="L180" s="19"/>
    </row>
    <row r="181" spans="1:12">
      <c r="A181" s="19"/>
      <c r="B181" s="12"/>
      <c r="C181" s="12"/>
      <c r="D181" s="12"/>
      <c r="E181" s="12"/>
      <c r="F181" s="12"/>
      <c r="G181" s="13"/>
      <c r="H181" s="23"/>
      <c r="I181" s="12"/>
      <c r="J181" s="12"/>
      <c r="K181" s="13"/>
      <c r="L181" s="19"/>
    </row>
    <row r="182" spans="1:12">
      <c r="A182" s="19"/>
      <c r="B182" s="12"/>
      <c r="C182" s="12"/>
      <c r="D182" s="12"/>
      <c r="E182" s="12"/>
      <c r="F182" s="12"/>
      <c r="G182" s="13"/>
      <c r="H182" s="23"/>
      <c r="I182" s="12"/>
      <c r="J182" s="12"/>
      <c r="K182" s="13"/>
      <c r="L182" s="19"/>
    </row>
    <row r="183" spans="1:12">
      <c r="A183" s="19"/>
      <c r="B183" s="12"/>
      <c r="C183" s="12"/>
      <c r="D183" s="12"/>
      <c r="E183" s="12"/>
      <c r="F183" s="12"/>
      <c r="G183" s="13"/>
      <c r="H183" s="23"/>
      <c r="I183" s="12"/>
      <c r="J183" s="12"/>
      <c r="K183" s="13"/>
      <c r="L183" s="19"/>
    </row>
    <row r="184" spans="1:12">
      <c r="A184" s="19"/>
      <c r="B184" s="12"/>
      <c r="C184" s="12"/>
      <c r="D184" s="12"/>
      <c r="E184" s="12"/>
      <c r="F184" s="12"/>
      <c r="G184" s="13"/>
      <c r="H184" s="23"/>
      <c r="I184" s="12"/>
      <c r="J184" s="12"/>
      <c r="K184" s="13"/>
      <c r="L184" s="19"/>
    </row>
    <row r="185" spans="1:12">
      <c r="A185" s="19"/>
      <c r="B185" s="12"/>
      <c r="C185" s="12"/>
      <c r="D185" s="12"/>
      <c r="E185" s="12"/>
      <c r="F185" s="12"/>
      <c r="G185" s="13"/>
      <c r="H185" s="23"/>
      <c r="I185" s="12"/>
      <c r="J185" s="12"/>
      <c r="K185" s="13"/>
      <c r="L185" s="19"/>
    </row>
    <row r="186" spans="1:12">
      <c r="A186" s="19"/>
      <c r="B186" s="12"/>
      <c r="C186" s="12"/>
      <c r="D186" s="12"/>
      <c r="E186" s="12"/>
      <c r="F186" s="12"/>
      <c r="G186" s="13"/>
      <c r="H186" s="23"/>
      <c r="I186" s="12"/>
      <c r="J186" s="12"/>
      <c r="K186" s="13"/>
      <c r="L186" s="19"/>
    </row>
    <row r="187" spans="1:12">
      <c r="A187" s="19"/>
      <c r="B187" s="12"/>
      <c r="C187" s="12"/>
      <c r="D187" s="12"/>
      <c r="E187" s="12"/>
      <c r="F187" s="12"/>
      <c r="G187" s="13"/>
      <c r="H187" s="23"/>
      <c r="I187" s="12"/>
      <c r="J187" s="12"/>
      <c r="K187" s="13"/>
      <c r="L187" s="19"/>
    </row>
    <row r="188" spans="1:12">
      <c r="A188" s="19"/>
      <c r="B188" s="12"/>
      <c r="C188" s="12"/>
      <c r="D188" s="12"/>
      <c r="E188" s="12"/>
      <c r="F188" s="12"/>
      <c r="G188" s="13"/>
      <c r="H188" s="23"/>
      <c r="I188" s="12"/>
      <c r="J188" s="12"/>
      <c r="K188" s="13"/>
      <c r="L188" s="19"/>
    </row>
    <row r="189" spans="1:12">
      <c r="A189" s="19"/>
      <c r="B189" s="12"/>
      <c r="C189" s="12"/>
      <c r="D189" s="12"/>
      <c r="E189" s="12"/>
      <c r="F189" s="12"/>
      <c r="G189" s="13"/>
      <c r="H189" s="23"/>
      <c r="I189" s="12"/>
      <c r="J189" s="12"/>
      <c r="K189" s="13"/>
      <c r="L189" s="19"/>
    </row>
    <row r="190" spans="1:12">
      <c r="A190" s="19"/>
      <c r="B190" s="12"/>
      <c r="C190" s="12"/>
      <c r="D190" s="12"/>
      <c r="E190" s="12"/>
      <c r="F190" s="12"/>
      <c r="G190" s="13"/>
      <c r="H190" s="23"/>
      <c r="I190" s="12"/>
      <c r="J190" s="12"/>
      <c r="K190" s="13"/>
      <c r="L190" s="19"/>
    </row>
    <row r="191" spans="1:12">
      <c r="A191" s="19"/>
      <c r="B191" s="12"/>
      <c r="C191" s="12"/>
      <c r="D191" s="12"/>
      <c r="E191" s="12"/>
      <c r="F191" s="12"/>
      <c r="G191" s="13"/>
      <c r="H191" s="23"/>
      <c r="I191" s="12"/>
      <c r="J191" s="12"/>
      <c r="K191" s="13"/>
      <c r="L191" s="19"/>
    </row>
    <row r="192" spans="1:12">
      <c r="A192" s="19"/>
      <c r="B192" s="12"/>
      <c r="C192" s="12"/>
      <c r="D192" s="12"/>
      <c r="E192" s="12"/>
      <c r="F192" s="12"/>
      <c r="G192" s="13"/>
      <c r="H192" s="23"/>
      <c r="I192" s="12"/>
      <c r="J192" s="12"/>
      <c r="K192" s="13"/>
      <c r="L192" s="19"/>
    </row>
    <row r="193" spans="1:12">
      <c r="A193" s="19"/>
      <c r="B193" s="12"/>
      <c r="C193" s="12"/>
      <c r="D193" s="12"/>
      <c r="E193" s="12"/>
      <c r="F193" s="12"/>
      <c r="G193" s="13"/>
      <c r="H193" s="23"/>
      <c r="I193" s="12"/>
      <c r="J193" s="12"/>
      <c r="K193" s="13"/>
      <c r="L193" s="19"/>
    </row>
    <row r="194" spans="1:12">
      <c r="A194" s="19"/>
      <c r="B194" s="12"/>
      <c r="C194" s="12"/>
      <c r="D194" s="12"/>
      <c r="E194" s="12"/>
      <c r="F194" s="12"/>
      <c r="G194" s="13"/>
      <c r="H194" s="23"/>
      <c r="I194" s="12"/>
      <c r="J194" s="12"/>
      <c r="K194" s="13"/>
      <c r="L194" s="19"/>
    </row>
    <row r="195" spans="1:12">
      <c r="A195" s="19"/>
      <c r="B195" s="12"/>
      <c r="C195" s="12"/>
      <c r="D195" s="12"/>
      <c r="E195" s="12"/>
      <c r="F195" s="12"/>
      <c r="G195" s="13"/>
      <c r="H195" s="23"/>
      <c r="I195" s="12"/>
      <c r="J195" s="12"/>
      <c r="K195" s="13"/>
      <c r="L195" s="19"/>
    </row>
    <row r="196" spans="1:12">
      <c r="A196" s="19"/>
      <c r="B196" s="12"/>
      <c r="C196" s="12"/>
      <c r="D196" s="12"/>
      <c r="E196" s="12"/>
      <c r="F196" s="12"/>
      <c r="G196" s="13"/>
      <c r="H196" s="23"/>
      <c r="I196" s="12"/>
      <c r="J196" s="12"/>
      <c r="K196" s="13"/>
      <c r="L196" s="19"/>
    </row>
    <row r="197" spans="1:12">
      <c r="A197" s="19"/>
      <c r="B197" s="12"/>
      <c r="C197" s="12"/>
      <c r="D197" s="12"/>
      <c r="E197" s="12"/>
      <c r="F197" s="12"/>
      <c r="G197" s="13"/>
      <c r="H197" s="23"/>
      <c r="I197" s="12"/>
      <c r="J197" s="12"/>
      <c r="K197" s="13"/>
      <c r="L197" s="19"/>
    </row>
    <row r="198" spans="1:12">
      <c r="A198" s="19"/>
      <c r="B198" s="12"/>
      <c r="C198" s="12"/>
      <c r="D198" s="12"/>
      <c r="E198" s="12"/>
      <c r="F198" s="12"/>
      <c r="G198" s="13"/>
      <c r="H198" s="23"/>
      <c r="I198" s="12"/>
      <c r="J198" s="12"/>
      <c r="K198" s="13"/>
      <c r="L198" s="19"/>
    </row>
    <row r="199" spans="1:12">
      <c r="A199" s="19"/>
      <c r="B199" s="12"/>
      <c r="C199" s="12"/>
      <c r="D199" s="12"/>
      <c r="E199" s="12"/>
      <c r="F199" s="12"/>
      <c r="G199" s="13"/>
      <c r="H199" s="23"/>
      <c r="I199" s="12"/>
      <c r="J199" s="12"/>
      <c r="K199" s="13"/>
      <c r="L199" s="19"/>
    </row>
    <row r="200" spans="1:12">
      <c r="A200" s="19"/>
      <c r="B200" s="12"/>
      <c r="C200" s="12"/>
      <c r="D200" s="12"/>
      <c r="E200" s="12"/>
      <c r="F200" s="12"/>
      <c r="G200" s="13"/>
      <c r="H200" s="23"/>
      <c r="I200" s="12"/>
      <c r="J200" s="12"/>
      <c r="K200" s="13"/>
      <c r="L200" s="19"/>
    </row>
    <row r="201" spans="1:12">
      <c r="A201" s="19"/>
      <c r="B201" s="19"/>
      <c r="C201" s="19"/>
      <c r="D201" s="19"/>
      <c r="E201" s="19"/>
      <c r="F201" s="19"/>
      <c r="G201" s="20"/>
      <c r="H201" s="23"/>
      <c r="I201" s="19"/>
      <c r="J201" s="19"/>
      <c r="K201" s="20"/>
      <c r="L201" s="19"/>
    </row>
  </sheetData>
  <mergeCells count="1">
    <mergeCell ref="A1:L1"/>
  </mergeCells>
  <phoneticPr fontId="8" type="noConversion"/>
  <conditionalFormatting sqref="J3:J20 J22:J201">
    <cfRule type="expression" dxfId="6" priority="1">
      <formula>J3="Yes"</formula>
    </cfRule>
    <cfRule type="expression" dxfId="5" priority="2">
      <formula>J3="No"</formula>
    </cfRule>
  </conditionalFormatting>
  <dataValidations count="2">
    <dataValidation type="list" sqref="C3:C201" xr:uid="{EE8C5970-5963-4EAA-BDF5-1450C1B444F1}">
      <formula1>"Unit 1 / Phase 1,Phase 2,Phase 3,Final"</formula1>
    </dataValidation>
    <dataValidation type="list" sqref="J3:J20 J22:J201" xr:uid="{46052613-B8D3-4946-8E18-81AC5AC79C3C}">
      <formula1>"Yes,No"</formula1>
    </dataValidation>
  </dataValidations>
  <hyperlinks>
    <hyperlink ref="F19" r:id="rId1" display="https://asp.net/" xr:uid="{96CF11B2-724A-4C16-819B-0D41169B81F8}"/>
    <hyperlink ref="I35" r:id="rId2" xr:uid="{5FAED456-52FE-480A-BB6F-DBC9194A2C23}"/>
  </hyperlinks>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opLeftCell="F6" workbookViewId="0">
      <selection activeCell="I6" sqref="I6"/>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20.100000000000001" customHeight="1">
      <c r="A1" s="27" t="s">
        <v>114</v>
      </c>
      <c r="B1" s="27"/>
      <c r="C1" s="27"/>
      <c r="D1" s="27"/>
      <c r="E1" s="27"/>
      <c r="F1" s="27"/>
      <c r="G1" s="27"/>
      <c r="H1" s="27"/>
      <c r="I1" s="27"/>
    </row>
    <row r="2" spans="1:9" ht="30">
      <c r="A2" s="1" t="s">
        <v>115</v>
      </c>
      <c r="B2" s="15" t="s">
        <v>69</v>
      </c>
      <c r="C2" s="15" t="s">
        <v>116</v>
      </c>
      <c r="D2" s="15" t="s">
        <v>3</v>
      </c>
      <c r="E2" s="15" t="s">
        <v>117</v>
      </c>
      <c r="F2" s="15" t="s">
        <v>118</v>
      </c>
      <c r="G2" s="15" t="s">
        <v>119</v>
      </c>
      <c r="H2" s="15" t="s">
        <v>120</v>
      </c>
      <c r="I2" s="2" t="s">
        <v>76</v>
      </c>
    </row>
    <row r="3" spans="1:9" ht="356.25">
      <c r="A3" s="24">
        <v>46252</v>
      </c>
      <c r="B3" s="12" t="s">
        <v>32</v>
      </c>
      <c r="C3" s="12" t="s">
        <v>372</v>
      </c>
      <c r="D3" s="12" t="s">
        <v>373</v>
      </c>
      <c r="E3" s="12" t="s">
        <v>231</v>
      </c>
      <c r="F3" s="12" t="s">
        <v>374</v>
      </c>
      <c r="G3" s="12" t="s">
        <v>375</v>
      </c>
      <c r="H3" s="12" t="s">
        <v>376</v>
      </c>
      <c r="I3" s="17" t="s">
        <v>377</v>
      </c>
    </row>
    <row r="4" spans="1:9" ht="185.25">
      <c r="A4" s="24">
        <v>46252</v>
      </c>
      <c r="B4" s="12" t="s">
        <v>32</v>
      </c>
      <c r="C4" s="12" t="s">
        <v>378</v>
      </c>
      <c r="D4" s="12" t="s">
        <v>379</v>
      </c>
      <c r="E4" s="12" t="s">
        <v>231</v>
      </c>
      <c r="F4" s="12" t="s">
        <v>374</v>
      </c>
      <c r="G4" s="12" t="s">
        <v>380</v>
      </c>
      <c r="H4" s="12" t="s">
        <v>381</v>
      </c>
      <c r="I4" s="42" t="s">
        <v>382</v>
      </c>
    </row>
    <row r="5" spans="1:9" ht="228">
      <c r="A5" s="24" t="s">
        <v>383</v>
      </c>
      <c r="B5" s="12" t="s">
        <v>187</v>
      </c>
      <c r="C5" s="12" t="s">
        <v>384</v>
      </c>
      <c r="D5" s="12" t="s">
        <v>385</v>
      </c>
      <c r="E5" s="12" t="s">
        <v>386</v>
      </c>
      <c r="F5" s="12" t="s">
        <v>374</v>
      </c>
      <c r="G5" s="12" t="s">
        <v>387</v>
      </c>
      <c r="H5" s="12" t="s">
        <v>388</v>
      </c>
      <c r="I5" s="42" t="s">
        <v>389</v>
      </c>
    </row>
    <row r="6" spans="1:9" ht="171">
      <c r="A6" s="24">
        <v>46267</v>
      </c>
      <c r="B6" s="12" t="s">
        <v>187</v>
      </c>
      <c r="C6" s="12" t="s">
        <v>390</v>
      </c>
      <c r="D6" s="12" t="s">
        <v>391</v>
      </c>
      <c r="E6" s="12" t="s">
        <v>386</v>
      </c>
      <c r="F6" s="12" t="s">
        <v>374</v>
      </c>
      <c r="G6" s="12" t="s">
        <v>392</v>
      </c>
      <c r="H6" s="12" t="s">
        <v>393</v>
      </c>
      <c r="I6" s="17" t="s">
        <v>394</v>
      </c>
    </row>
    <row r="7" spans="1:9">
      <c r="A7" s="24"/>
      <c r="B7" s="12"/>
      <c r="C7" s="12"/>
      <c r="D7" s="12"/>
      <c r="E7" s="12"/>
      <c r="F7" s="12"/>
      <c r="G7" s="12"/>
      <c r="H7" s="12"/>
      <c r="I7" s="17"/>
    </row>
    <row r="8" spans="1:9">
      <c r="A8" s="24"/>
      <c r="B8" s="12"/>
      <c r="C8" s="12"/>
      <c r="D8" s="12"/>
      <c r="E8" s="12"/>
      <c r="F8" s="12"/>
      <c r="G8" s="12"/>
      <c r="H8" s="12"/>
      <c r="I8" s="17"/>
    </row>
    <row r="9" spans="1:9">
      <c r="A9" s="24"/>
      <c r="B9" s="12"/>
      <c r="C9" s="12"/>
      <c r="D9" s="12"/>
      <c r="E9" s="12"/>
      <c r="F9" s="12"/>
      <c r="G9" s="12"/>
      <c r="H9" s="12"/>
      <c r="I9" s="17"/>
    </row>
    <row r="10" spans="1:9">
      <c r="A10" s="24"/>
      <c r="B10" s="12"/>
      <c r="C10" s="12"/>
      <c r="D10" s="12"/>
      <c r="E10" s="12"/>
      <c r="F10" s="12"/>
      <c r="G10" s="12"/>
      <c r="H10" s="12"/>
      <c r="I10" s="17"/>
    </row>
    <row r="11" spans="1:9">
      <c r="A11" s="24"/>
      <c r="B11" s="12"/>
      <c r="C11" s="12"/>
      <c r="D11" s="12"/>
      <c r="E11" s="12"/>
      <c r="F11" s="12"/>
      <c r="G11" s="12"/>
      <c r="H11" s="12"/>
      <c r="I11" s="17"/>
    </row>
    <row r="12" spans="1:9">
      <c r="A12" s="24"/>
      <c r="B12" s="12"/>
      <c r="C12" s="12"/>
      <c r="D12" s="12"/>
      <c r="E12" s="12"/>
      <c r="F12" s="12"/>
      <c r="G12" s="12"/>
      <c r="H12" s="12"/>
      <c r="I12" s="17"/>
    </row>
    <row r="13" spans="1:9">
      <c r="A13" s="24"/>
      <c r="B13" s="12"/>
      <c r="C13" s="12"/>
      <c r="D13" s="12"/>
      <c r="E13" s="12"/>
      <c r="F13" s="12"/>
      <c r="G13" s="12"/>
      <c r="H13" s="12"/>
      <c r="I13" s="17"/>
    </row>
    <row r="14" spans="1:9">
      <c r="A14" s="24"/>
      <c r="B14" s="12"/>
      <c r="C14" s="12"/>
      <c r="D14" s="12"/>
      <c r="E14" s="12"/>
      <c r="F14" s="12"/>
      <c r="G14" s="12"/>
      <c r="H14" s="12"/>
      <c r="I14" s="17"/>
    </row>
    <row r="15" spans="1:9">
      <c r="A15" s="24"/>
      <c r="B15" s="12"/>
      <c r="C15" s="12"/>
      <c r="D15" s="12"/>
      <c r="E15" s="12"/>
      <c r="F15" s="12"/>
      <c r="G15" s="12"/>
      <c r="H15" s="12"/>
      <c r="I15" s="17"/>
    </row>
    <row r="16" spans="1:9">
      <c r="A16" s="24"/>
      <c r="B16" s="12"/>
      <c r="C16" s="12"/>
      <c r="D16" s="12"/>
      <c r="E16" s="12"/>
      <c r="F16" s="12"/>
      <c r="G16" s="12"/>
      <c r="H16" s="12"/>
      <c r="I16" s="17"/>
    </row>
    <row r="17" spans="1:9">
      <c r="A17" s="24"/>
      <c r="B17" s="12"/>
      <c r="C17" s="12"/>
      <c r="D17" s="12"/>
      <c r="E17" s="12"/>
      <c r="F17" s="12"/>
      <c r="G17" s="12"/>
      <c r="H17" s="12"/>
      <c r="I17" s="17"/>
    </row>
    <row r="18" spans="1:9">
      <c r="A18" s="24"/>
      <c r="B18" s="12"/>
      <c r="C18" s="12"/>
      <c r="D18" s="12"/>
      <c r="E18" s="12"/>
      <c r="F18" s="12"/>
      <c r="G18" s="12"/>
      <c r="H18" s="12"/>
      <c r="I18" s="17"/>
    </row>
    <row r="19" spans="1:9">
      <c r="A19" s="24"/>
      <c r="B19" s="12"/>
      <c r="C19" s="12"/>
      <c r="D19" s="12"/>
      <c r="E19" s="12"/>
      <c r="F19" s="12"/>
      <c r="G19" s="12"/>
      <c r="H19" s="12"/>
      <c r="I19" s="17"/>
    </row>
    <row r="20" spans="1:9">
      <c r="A20" s="24"/>
      <c r="B20" s="12"/>
      <c r="C20" s="12"/>
      <c r="D20" s="12"/>
      <c r="E20" s="12"/>
      <c r="F20" s="12"/>
      <c r="G20" s="12"/>
      <c r="H20" s="12"/>
      <c r="I20" s="17"/>
    </row>
    <row r="21" spans="1:9">
      <c r="A21" s="24"/>
      <c r="B21" s="12"/>
      <c r="C21" s="12"/>
      <c r="D21" s="12"/>
      <c r="E21" s="12"/>
      <c r="F21" s="12"/>
      <c r="G21" s="12"/>
      <c r="H21" s="12"/>
      <c r="I21" s="17"/>
    </row>
    <row r="22" spans="1:9">
      <c r="A22" s="24"/>
      <c r="B22" s="12"/>
      <c r="C22" s="12"/>
      <c r="D22" s="12"/>
      <c r="E22" s="12"/>
      <c r="F22" s="12"/>
      <c r="G22" s="12"/>
      <c r="H22" s="12"/>
      <c r="I22" s="17"/>
    </row>
    <row r="23" spans="1:9">
      <c r="A23" s="24"/>
      <c r="B23" s="12"/>
      <c r="C23" s="12"/>
      <c r="D23" s="12"/>
      <c r="E23" s="12"/>
      <c r="F23" s="12"/>
      <c r="G23" s="12"/>
      <c r="H23" s="12"/>
      <c r="I23" s="17"/>
    </row>
    <row r="24" spans="1:9">
      <c r="A24" s="24"/>
      <c r="B24" s="12"/>
      <c r="C24" s="12"/>
      <c r="D24" s="12"/>
      <c r="E24" s="12"/>
      <c r="F24" s="12"/>
      <c r="G24" s="12"/>
      <c r="H24" s="12"/>
      <c r="I24" s="17"/>
    </row>
    <row r="25" spans="1:9">
      <c r="A25" s="24"/>
      <c r="B25" s="12"/>
      <c r="C25" s="12"/>
      <c r="D25" s="12"/>
      <c r="E25" s="12"/>
      <c r="F25" s="12"/>
      <c r="G25" s="12"/>
      <c r="H25" s="12"/>
      <c r="I25" s="17"/>
    </row>
    <row r="26" spans="1:9">
      <c r="A26" s="24"/>
      <c r="B26" s="12"/>
      <c r="C26" s="12"/>
      <c r="D26" s="12"/>
      <c r="E26" s="12"/>
      <c r="F26" s="12"/>
      <c r="G26" s="12"/>
      <c r="H26" s="12"/>
      <c r="I26" s="17"/>
    </row>
    <row r="27" spans="1:9">
      <c r="A27" s="24"/>
      <c r="B27" s="12"/>
      <c r="C27" s="12"/>
      <c r="D27" s="12"/>
      <c r="E27" s="12"/>
      <c r="F27" s="12"/>
      <c r="G27" s="12"/>
      <c r="H27" s="12"/>
      <c r="I27" s="17"/>
    </row>
    <row r="28" spans="1:9">
      <c r="A28" s="24"/>
      <c r="B28" s="12"/>
      <c r="C28" s="12"/>
      <c r="D28" s="12"/>
      <c r="E28" s="12"/>
      <c r="F28" s="12"/>
      <c r="G28" s="12"/>
      <c r="H28" s="12"/>
      <c r="I28" s="17"/>
    </row>
    <row r="29" spans="1:9">
      <c r="A29" s="24"/>
      <c r="B29" s="12"/>
      <c r="C29" s="12"/>
      <c r="D29" s="12"/>
      <c r="E29" s="12"/>
      <c r="F29" s="12"/>
      <c r="G29" s="12"/>
      <c r="H29" s="12"/>
      <c r="I29" s="17"/>
    </row>
    <row r="30" spans="1:9">
      <c r="A30" s="24"/>
      <c r="B30" s="12"/>
      <c r="C30" s="12"/>
      <c r="D30" s="12"/>
      <c r="E30" s="12"/>
      <c r="F30" s="12"/>
      <c r="G30" s="12"/>
      <c r="H30" s="12"/>
      <c r="I30" s="17"/>
    </row>
    <row r="31" spans="1:9">
      <c r="A31" s="24"/>
      <c r="B31" s="12"/>
      <c r="C31" s="12"/>
      <c r="D31" s="12"/>
      <c r="E31" s="12"/>
      <c r="F31" s="12"/>
      <c r="G31" s="12"/>
      <c r="H31" s="12"/>
      <c r="I31" s="17"/>
    </row>
    <row r="32" spans="1:9">
      <c r="A32" s="24"/>
      <c r="B32" s="12"/>
      <c r="C32" s="12"/>
      <c r="D32" s="12"/>
      <c r="E32" s="12"/>
      <c r="F32" s="12"/>
      <c r="G32" s="12"/>
      <c r="H32" s="12"/>
      <c r="I32" s="17"/>
    </row>
    <row r="33" spans="1:9">
      <c r="A33" s="24"/>
      <c r="B33" s="12"/>
      <c r="C33" s="12"/>
      <c r="D33" s="12"/>
      <c r="E33" s="12"/>
      <c r="F33" s="12"/>
      <c r="G33" s="12"/>
      <c r="H33" s="12"/>
      <c r="I33" s="17"/>
    </row>
    <row r="34" spans="1:9">
      <c r="A34" s="24"/>
      <c r="B34" s="12"/>
      <c r="C34" s="12"/>
      <c r="D34" s="12"/>
      <c r="E34" s="12"/>
      <c r="F34" s="12"/>
      <c r="G34" s="12"/>
      <c r="H34" s="12"/>
      <c r="I34" s="17"/>
    </row>
    <row r="35" spans="1:9">
      <c r="A35" s="24"/>
      <c r="B35" s="12"/>
      <c r="C35" s="12"/>
      <c r="D35" s="12"/>
      <c r="E35" s="12"/>
      <c r="F35" s="12"/>
      <c r="G35" s="12"/>
      <c r="H35" s="12"/>
      <c r="I35" s="17"/>
    </row>
    <row r="36" spans="1:9">
      <c r="A36" s="24"/>
      <c r="B36" s="12"/>
      <c r="C36" s="12"/>
      <c r="D36" s="12"/>
      <c r="E36" s="12"/>
      <c r="F36" s="12"/>
      <c r="G36" s="12"/>
      <c r="H36" s="12"/>
      <c r="I36" s="17"/>
    </row>
    <row r="37" spans="1:9">
      <c r="A37" s="24"/>
      <c r="B37" s="12"/>
      <c r="C37" s="12"/>
      <c r="D37" s="12"/>
      <c r="E37" s="12"/>
      <c r="F37" s="12"/>
      <c r="G37" s="12"/>
      <c r="H37" s="12"/>
      <c r="I37" s="17"/>
    </row>
    <row r="38" spans="1:9">
      <c r="A38" s="24"/>
      <c r="B38" s="12"/>
      <c r="C38" s="12"/>
      <c r="D38" s="12"/>
      <c r="E38" s="12"/>
      <c r="F38" s="12"/>
      <c r="G38" s="12"/>
      <c r="H38" s="12"/>
      <c r="I38" s="17"/>
    </row>
    <row r="39" spans="1:9">
      <c r="A39" s="24"/>
      <c r="B39" s="12"/>
      <c r="C39" s="12"/>
      <c r="D39" s="12"/>
      <c r="E39" s="12"/>
      <c r="F39" s="12"/>
      <c r="G39" s="12"/>
      <c r="H39" s="12"/>
      <c r="I39" s="17"/>
    </row>
    <row r="40" spans="1:9">
      <c r="A40" s="24"/>
      <c r="B40" s="12"/>
      <c r="C40" s="12"/>
      <c r="D40" s="12"/>
      <c r="E40" s="12"/>
      <c r="F40" s="12"/>
      <c r="G40" s="12"/>
      <c r="H40" s="12"/>
      <c r="I40" s="17"/>
    </row>
    <row r="41" spans="1:9">
      <c r="A41" s="24"/>
      <c r="B41" s="12"/>
      <c r="C41" s="12"/>
      <c r="D41" s="12"/>
      <c r="E41" s="12"/>
      <c r="F41" s="12"/>
      <c r="G41" s="12"/>
      <c r="H41" s="12"/>
      <c r="I41" s="17"/>
    </row>
    <row r="42" spans="1:9">
      <c r="A42" s="24"/>
      <c r="B42" s="12"/>
      <c r="C42" s="12"/>
      <c r="D42" s="12"/>
      <c r="E42" s="12"/>
      <c r="F42" s="12"/>
      <c r="G42" s="12"/>
      <c r="H42" s="12"/>
      <c r="I42" s="17"/>
    </row>
    <row r="43" spans="1:9">
      <c r="A43" s="24"/>
      <c r="B43" s="12"/>
      <c r="C43" s="12"/>
      <c r="D43" s="12"/>
      <c r="E43" s="12"/>
      <c r="F43" s="12"/>
      <c r="G43" s="12"/>
      <c r="H43" s="12"/>
      <c r="I43" s="17"/>
    </row>
    <row r="44" spans="1:9">
      <c r="A44" s="24"/>
      <c r="B44" s="12"/>
      <c r="C44" s="12"/>
      <c r="D44" s="12"/>
      <c r="E44" s="12"/>
      <c r="F44" s="12"/>
      <c r="G44" s="12"/>
      <c r="H44" s="12"/>
      <c r="I44" s="17"/>
    </row>
    <row r="45" spans="1:9">
      <c r="A45" s="24"/>
      <c r="B45" s="12"/>
      <c r="C45" s="12"/>
      <c r="D45" s="12"/>
      <c r="E45" s="12"/>
      <c r="F45" s="12"/>
      <c r="G45" s="12"/>
      <c r="H45" s="12"/>
      <c r="I45" s="17"/>
    </row>
    <row r="46" spans="1:9">
      <c r="A46" s="24"/>
      <c r="B46" s="12"/>
      <c r="C46" s="12"/>
      <c r="D46" s="12"/>
      <c r="E46" s="12"/>
      <c r="F46" s="12"/>
      <c r="G46" s="12"/>
      <c r="H46" s="12"/>
      <c r="I46" s="17"/>
    </row>
    <row r="47" spans="1:9">
      <c r="A47" s="24"/>
      <c r="B47" s="12"/>
      <c r="C47" s="12"/>
      <c r="D47" s="12"/>
      <c r="E47" s="12"/>
      <c r="F47" s="12"/>
      <c r="G47" s="12"/>
      <c r="H47" s="12"/>
      <c r="I47" s="17"/>
    </row>
    <row r="48" spans="1:9">
      <c r="A48" s="24"/>
      <c r="B48" s="12"/>
      <c r="C48" s="12"/>
      <c r="D48" s="12"/>
      <c r="E48" s="12"/>
      <c r="F48" s="12"/>
      <c r="G48" s="12"/>
      <c r="H48" s="12"/>
      <c r="I48" s="17"/>
    </row>
    <row r="49" spans="1:9">
      <c r="A49" s="24"/>
      <c r="B49" s="12"/>
      <c r="C49" s="12"/>
      <c r="D49" s="12"/>
      <c r="E49" s="12"/>
      <c r="F49" s="12"/>
      <c r="G49" s="12"/>
      <c r="H49" s="12"/>
      <c r="I49" s="17"/>
    </row>
    <row r="50" spans="1:9">
      <c r="A50" s="24"/>
      <c r="B50" s="12"/>
      <c r="C50" s="12"/>
      <c r="D50" s="12"/>
      <c r="E50" s="12"/>
      <c r="F50" s="12"/>
      <c r="G50" s="12"/>
      <c r="H50" s="12"/>
      <c r="I50" s="17"/>
    </row>
    <row r="51" spans="1:9">
      <c r="A51" s="24"/>
      <c r="B51" s="12"/>
      <c r="C51" s="12"/>
      <c r="D51" s="12"/>
      <c r="E51" s="12"/>
      <c r="F51" s="12"/>
      <c r="G51" s="12"/>
      <c r="H51" s="12"/>
      <c r="I51" s="17"/>
    </row>
    <row r="52" spans="1:9">
      <c r="A52" s="24"/>
      <c r="B52" s="12"/>
      <c r="C52" s="12"/>
      <c r="D52" s="12"/>
      <c r="E52" s="12"/>
      <c r="F52" s="12"/>
      <c r="G52" s="12"/>
      <c r="H52" s="12"/>
      <c r="I52" s="17"/>
    </row>
    <row r="53" spans="1:9">
      <c r="A53" s="24"/>
      <c r="B53" s="12"/>
      <c r="C53" s="12"/>
      <c r="D53" s="12"/>
      <c r="E53" s="12"/>
      <c r="F53" s="12"/>
      <c r="G53" s="12"/>
      <c r="H53" s="12"/>
      <c r="I53" s="17"/>
    </row>
    <row r="54" spans="1:9">
      <c r="A54" s="24"/>
      <c r="B54" s="12"/>
      <c r="C54" s="12"/>
      <c r="D54" s="12"/>
      <c r="E54" s="12"/>
      <c r="F54" s="12"/>
      <c r="G54" s="12"/>
      <c r="H54" s="12"/>
      <c r="I54" s="17"/>
    </row>
    <row r="55" spans="1:9">
      <c r="A55" s="24"/>
      <c r="B55" s="12"/>
      <c r="C55" s="12"/>
      <c r="D55" s="12"/>
      <c r="E55" s="12"/>
      <c r="F55" s="12"/>
      <c r="G55" s="12"/>
      <c r="H55" s="12"/>
      <c r="I55" s="17"/>
    </row>
    <row r="56" spans="1:9">
      <c r="A56" s="24"/>
      <c r="B56" s="12"/>
      <c r="C56" s="12"/>
      <c r="D56" s="12"/>
      <c r="E56" s="12"/>
      <c r="F56" s="12"/>
      <c r="G56" s="12"/>
      <c r="H56" s="12"/>
      <c r="I56" s="17"/>
    </row>
    <row r="57" spans="1:9">
      <c r="A57" s="24"/>
      <c r="B57" s="12"/>
      <c r="C57" s="12"/>
      <c r="D57" s="12"/>
      <c r="E57" s="12"/>
      <c r="F57" s="12"/>
      <c r="G57" s="12"/>
      <c r="H57" s="12"/>
      <c r="I57" s="17"/>
    </row>
    <row r="58" spans="1:9">
      <c r="A58" s="24"/>
      <c r="B58" s="12"/>
      <c r="C58" s="12"/>
      <c r="D58" s="12"/>
      <c r="E58" s="12"/>
      <c r="F58" s="12"/>
      <c r="G58" s="12"/>
      <c r="H58" s="12"/>
      <c r="I58" s="17"/>
    </row>
    <row r="59" spans="1:9">
      <c r="A59" s="24"/>
      <c r="B59" s="12"/>
      <c r="C59" s="12"/>
      <c r="D59" s="12"/>
      <c r="E59" s="12"/>
      <c r="F59" s="12"/>
      <c r="G59" s="12"/>
      <c r="H59" s="12"/>
      <c r="I59" s="17"/>
    </row>
    <row r="60" spans="1:9">
      <c r="A60" s="24"/>
      <c r="B60" s="12"/>
      <c r="C60" s="12"/>
      <c r="D60" s="12"/>
      <c r="E60" s="12"/>
      <c r="F60" s="12"/>
      <c r="G60" s="12"/>
      <c r="H60" s="12"/>
      <c r="I60" s="17"/>
    </row>
    <row r="61" spans="1:9">
      <c r="A61" s="24"/>
      <c r="B61" s="12"/>
      <c r="C61" s="12"/>
      <c r="D61" s="12"/>
      <c r="E61" s="12"/>
      <c r="F61" s="12"/>
      <c r="G61" s="12"/>
      <c r="H61" s="12"/>
      <c r="I61" s="17"/>
    </row>
    <row r="62" spans="1:9">
      <c r="A62" s="24"/>
      <c r="B62" s="12"/>
      <c r="C62" s="12"/>
      <c r="D62" s="12"/>
      <c r="E62" s="12"/>
      <c r="F62" s="12"/>
      <c r="G62" s="12"/>
      <c r="H62" s="12"/>
      <c r="I62" s="17"/>
    </row>
    <row r="63" spans="1:9">
      <c r="A63" s="24"/>
      <c r="B63" s="12"/>
      <c r="C63" s="12"/>
      <c r="D63" s="12"/>
      <c r="E63" s="12"/>
      <c r="F63" s="12"/>
      <c r="G63" s="12"/>
      <c r="H63" s="12"/>
      <c r="I63" s="17"/>
    </row>
    <row r="64" spans="1:9">
      <c r="A64" s="24"/>
      <c r="B64" s="12"/>
      <c r="C64" s="12"/>
      <c r="D64" s="12"/>
      <c r="E64" s="12"/>
      <c r="F64" s="12"/>
      <c r="G64" s="12"/>
      <c r="H64" s="12"/>
      <c r="I64" s="17"/>
    </row>
    <row r="65" spans="1:9">
      <c r="A65" s="24"/>
      <c r="B65" s="12"/>
      <c r="C65" s="12"/>
      <c r="D65" s="12"/>
      <c r="E65" s="12"/>
      <c r="F65" s="12"/>
      <c r="G65" s="12"/>
      <c r="H65" s="12"/>
      <c r="I65" s="17"/>
    </row>
    <row r="66" spans="1:9">
      <c r="A66" s="24"/>
      <c r="B66" s="12"/>
      <c r="C66" s="12"/>
      <c r="D66" s="12"/>
      <c r="E66" s="12"/>
      <c r="F66" s="12"/>
      <c r="G66" s="12"/>
      <c r="H66" s="12"/>
      <c r="I66" s="17"/>
    </row>
    <row r="67" spans="1:9">
      <c r="A67" s="24"/>
      <c r="B67" s="12"/>
      <c r="C67" s="12"/>
      <c r="D67" s="12"/>
      <c r="E67" s="12"/>
      <c r="F67" s="12"/>
      <c r="G67" s="12"/>
      <c r="H67" s="12"/>
      <c r="I67" s="17"/>
    </row>
    <row r="68" spans="1:9">
      <c r="A68" s="24"/>
      <c r="B68" s="12"/>
      <c r="C68" s="12"/>
      <c r="D68" s="12"/>
      <c r="E68" s="12"/>
      <c r="F68" s="12"/>
      <c r="G68" s="12"/>
      <c r="H68" s="12"/>
      <c r="I68" s="17"/>
    </row>
    <row r="69" spans="1:9">
      <c r="A69" s="24"/>
      <c r="B69" s="12"/>
      <c r="C69" s="12"/>
      <c r="D69" s="12"/>
      <c r="E69" s="12"/>
      <c r="F69" s="12"/>
      <c r="G69" s="12"/>
      <c r="H69" s="12"/>
      <c r="I69" s="17"/>
    </row>
    <row r="70" spans="1:9">
      <c r="A70" s="24"/>
      <c r="B70" s="12"/>
      <c r="C70" s="12"/>
      <c r="D70" s="12"/>
      <c r="E70" s="12"/>
      <c r="F70" s="12"/>
      <c r="G70" s="12"/>
      <c r="H70" s="12"/>
      <c r="I70" s="17"/>
    </row>
    <row r="71" spans="1:9">
      <c r="A71" s="24"/>
      <c r="B71" s="12"/>
      <c r="C71" s="12"/>
      <c r="D71" s="12"/>
      <c r="E71" s="12"/>
      <c r="F71" s="12"/>
      <c r="G71" s="12"/>
      <c r="H71" s="12"/>
      <c r="I71" s="17"/>
    </row>
    <row r="72" spans="1:9">
      <c r="A72" s="24"/>
      <c r="B72" s="12"/>
      <c r="C72" s="12"/>
      <c r="D72" s="12"/>
      <c r="E72" s="12"/>
      <c r="F72" s="12"/>
      <c r="G72" s="12"/>
      <c r="H72" s="12"/>
      <c r="I72" s="17"/>
    </row>
    <row r="73" spans="1:9">
      <c r="A73" s="24"/>
      <c r="B73" s="12"/>
      <c r="C73" s="12"/>
      <c r="D73" s="12"/>
      <c r="E73" s="12"/>
      <c r="F73" s="12"/>
      <c r="G73" s="12"/>
      <c r="H73" s="12"/>
      <c r="I73" s="17"/>
    </row>
    <row r="74" spans="1:9">
      <c r="A74" s="24"/>
      <c r="B74" s="12"/>
      <c r="C74" s="12"/>
      <c r="D74" s="12"/>
      <c r="E74" s="12"/>
      <c r="F74" s="12"/>
      <c r="G74" s="12"/>
      <c r="H74" s="12"/>
      <c r="I74" s="17"/>
    </row>
    <row r="75" spans="1:9">
      <c r="A75" s="24"/>
      <c r="B75" s="12"/>
      <c r="C75" s="12"/>
      <c r="D75" s="12"/>
      <c r="E75" s="12"/>
      <c r="F75" s="12"/>
      <c r="G75" s="12"/>
      <c r="H75" s="12"/>
      <c r="I75" s="17"/>
    </row>
    <row r="76" spans="1:9">
      <c r="A76" s="24"/>
      <c r="B76" s="12"/>
      <c r="C76" s="12"/>
      <c r="D76" s="12"/>
      <c r="E76" s="12"/>
      <c r="F76" s="12"/>
      <c r="G76" s="12"/>
      <c r="H76" s="12"/>
      <c r="I76" s="17"/>
    </row>
    <row r="77" spans="1:9">
      <c r="A77" s="24"/>
      <c r="B77" s="12"/>
      <c r="C77" s="12"/>
      <c r="D77" s="12"/>
      <c r="E77" s="12"/>
      <c r="F77" s="12"/>
      <c r="G77" s="12"/>
      <c r="H77" s="12"/>
      <c r="I77" s="17"/>
    </row>
    <row r="78" spans="1:9">
      <c r="A78" s="24"/>
      <c r="B78" s="12"/>
      <c r="C78" s="12"/>
      <c r="D78" s="12"/>
      <c r="E78" s="12"/>
      <c r="F78" s="12"/>
      <c r="G78" s="12"/>
      <c r="H78" s="12"/>
      <c r="I78" s="17"/>
    </row>
    <row r="79" spans="1:9">
      <c r="A79" s="24"/>
      <c r="B79" s="12"/>
      <c r="C79" s="12"/>
      <c r="D79" s="12"/>
      <c r="E79" s="12"/>
      <c r="F79" s="12"/>
      <c r="G79" s="12"/>
      <c r="H79" s="12"/>
      <c r="I79" s="17"/>
    </row>
    <row r="80" spans="1:9">
      <c r="A80" s="24"/>
      <c r="B80" s="12"/>
      <c r="C80" s="12"/>
      <c r="D80" s="12"/>
      <c r="E80" s="12"/>
      <c r="F80" s="12"/>
      <c r="G80" s="12"/>
      <c r="H80" s="12"/>
      <c r="I80" s="17"/>
    </row>
    <row r="81" spans="1:9">
      <c r="A81" s="24"/>
      <c r="B81" s="12"/>
      <c r="C81" s="12"/>
      <c r="D81" s="12"/>
      <c r="E81" s="12"/>
      <c r="F81" s="12"/>
      <c r="G81" s="12"/>
      <c r="H81" s="12"/>
      <c r="I81" s="17"/>
    </row>
    <row r="82" spans="1:9">
      <c r="A82" s="24"/>
      <c r="B82" s="12"/>
      <c r="C82" s="12"/>
      <c r="D82" s="12"/>
      <c r="E82" s="12"/>
      <c r="F82" s="12"/>
      <c r="G82" s="12"/>
      <c r="H82" s="12"/>
      <c r="I82" s="17"/>
    </row>
    <row r="83" spans="1:9">
      <c r="A83" s="24"/>
      <c r="B83" s="12"/>
      <c r="C83" s="12"/>
      <c r="D83" s="12"/>
      <c r="E83" s="12"/>
      <c r="F83" s="12"/>
      <c r="G83" s="12"/>
      <c r="H83" s="12"/>
      <c r="I83" s="17"/>
    </row>
    <row r="84" spans="1:9">
      <c r="A84" s="24"/>
      <c r="B84" s="12"/>
      <c r="C84" s="12"/>
      <c r="D84" s="12"/>
      <c r="E84" s="12"/>
      <c r="F84" s="12"/>
      <c r="G84" s="12"/>
      <c r="H84" s="12"/>
      <c r="I84" s="17"/>
    </row>
    <row r="85" spans="1:9">
      <c r="A85" s="24"/>
      <c r="B85" s="12"/>
      <c r="C85" s="12"/>
      <c r="D85" s="12"/>
      <c r="E85" s="12"/>
      <c r="F85" s="12"/>
      <c r="G85" s="12"/>
      <c r="H85" s="12"/>
      <c r="I85" s="17"/>
    </row>
    <row r="86" spans="1:9">
      <c r="A86" s="24"/>
      <c r="B86" s="12"/>
      <c r="C86" s="12"/>
      <c r="D86" s="12"/>
      <c r="E86" s="12"/>
      <c r="F86" s="12"/>
      <c r="G86" s="12"/>
      <c r="H86" s="12"/>
      <c r="I86" s="17"/>
    </row>
    <row r="87" spans="1:9">
      <c r="A87" s="24"/>
      <c r="B87" s="12"/>
      <c r="C87" s="12"/>
      <c r="D87" s="12"/>
      <c r="E87" s="12"/>
      <c r="F87" s="12"/>
      <c r="G87" s="12"/>
      <c r="H87" s="12"/>
      <c r="I87" s="17"/>
    </row>
    <row r="88" spans="1:9">
      <c r="A88" s="24"/>
      <c r="B88" s="12"/>
      <c r="C88" s="12"/>
      <c r="D88" s="12"/>
      <c r="E88" s="12"/>
      <c r="F88" s="12"/>
      <c r="G88" s="12"/>
      <c r="H88" s="12"/>
      <c r="I88" s="17"/>
    </row>
    <row r="89" spans="1:9">
      <c r="A89" s="24"/>
      <c r="B89" s="12"/>
      <c r="C89" s="12"/>
      <c r="D89" s="12"/>
      <c r="E89" s="12"/>
      <c r="F89" s="12"/>
      <c r="G89" s="12"/>
      <c r="H89" s="12"/>
      <c r="I89" s="17"/>
    </row>
    <row r="90" spans="1:9">
      <c r="A90" s="24"/>
      <c r="B90" s="12"/>
      <c r="C90" s="12"/>
      <c r="D90" s="12"/>
      <c r="E90" s="12"/>
      <c r="F90" s="12"/>
      <c r="G90" s="12"/>
      <c r="H90" s="12"/>
      <c r="I90" s="17"/>
    </row>
    <row r="91" spans="1:9">
      <c r="A91" s="24"/>
      <c r="B91" s="12"/>
      <c r="C91" s="12"/>
      <c r="D91" s="12"/>
      <c r="E91" s="12"/>
      <c r="F91" s="12"/>
      <c r="G91" s="12"/>
      <c r="H91" s="12"/>
      <c r="I91" s="17"/>
    </row>
    <row r="92" spans="1:9">
      <c r="A92" s="24"/>
      <c r="B92" s="12"/>
      <c r="C92" s="12"/>
      <c r="D92" s="12"/>
      <c r="E92" s="12"/>
      <c r="F92" s="12"/>
      <c r="G92" s="12"/>
      <c r="H92" s="12"/>
      <c r="I92" s="17"/>
    </row>
    <row r="93" spans="1:9">
      <c r="A93" s="24"/>
      <c r="B93" s="12"/>
      <c r="C93" s="12"/>
      <c r="D93" s="12"/>
      <c r="E93" s="12"/>
      <c r="F93" s="12"/>
      <c r="G93" s="12"/>
      <c r="H93" s="12"/>
      <c r="I93" s="17"/>
    </row>
    <row r="94" spans="1:9">
      <c r="A94" s="24"/>
      <c r="B94" s="12"/>
      <c r="C94" s="12"/>
      <c r="D94" s="12"/>
      <c r="E94" s="12"/>
      <c r="F94" s="12"/>
      <c r="G94" s="12"/>
      <c r="H94" s="12"/>
      <c r="I94" s="17"/>
    </row>
    <row r="95" spans="1:9">
      <c r="A95" s="24"/>
      <c r="B95" s="12"/>
      <c r="C95" s="12"/>
      <c r="D95" s="12"/>
      <c r="E95" s="12"/>
      <c r="F95" s="12"/>
      <c r="G95" s="12"/>
      <c r="H95" s="12"/>
      <c r="I95" s="17"/>
    </row>
    <row r="96" spans="1:9">
      <c r="A96" s="24"/>
      <c r="B96" s="12"/>
      <c r="C96" s="12"/>
      <c r="D96" s="12"/>
      <c r="E96" s="12"/>
      <c r="F96" s="12"/>
      <c r="G96" s="12"/>
      <c r="H96" s="12"/>
      <c r="I96" s="17"/>
    </row>
    <row r="97" spans="1:9">
      <c r="A97" s="24"/>
      <c r="B97" s="12"/>
      <c r="C97" s="12"/>
      <c r="D97" s="12"/>
      <c r="E97" s="12"/>
      <c r="F97" s="12"/>
      <c r="G97" s="12"/>
      <c r="H97" s="12"/>
      <c r="I97" s="17"/>
    </row>
    <row r="98" spans="1:9">
      <c r="A98" s="24"/>
      <c r="B98" s="12"/>
      <c r="C98" s="12"/>
      <c r="D98" s="12"/>
      <c r="E98" s="12"/>
      <c r="F98" s="12"/>
      <c r="G98" s="12"/>
      <c r="H98" s="12"/>
      <c r="I98" s="17"/>
    </row>
    <row r="99" spans="1:9">
      <c r="A99" s="24"/>
      <c r="B99" s="12"/>
      <c r="C99" s="12"/>
      <c r="D99" s="12"/>
      <c r="E99" s="12"/>
      <c r="F99" s="12"/>
      <c r="G99" s="12"/>
      <c r="H99" s="12"/>
      <c r="I99" s="17"/>
    </row>
    <row r="100" spans="1:9">
      <c r="A100" s="24"/>
      <c r="B100" s="12"/>
      <c r="C100" s="12"/>
      <c r="D100" s="12"/>
      <c r="E100" s="12"/>
      <c r="F100" s="12"/>
      <c r="G100" s="12"/>
      <c r="H100" s="12"/>
      <c r="I100" s="17"/>
    </row>
    <row r="101" spans="1:9">
      <c r="A101" s="25"/>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opLeftCell="E1" workbookViewId="0">
      <selection activeCell="F12" sqref="F12"/>
    </sheetView>
  </sheetViews>
  <sheetFormatPr defaultRowHeight="14.25"/>
  <cols>
    <col min="1" max="1" width="15" customWidth="1"/>
    <col min="2" max="2" width="19" customWidth="1"/>
    <col min="3" max="4" width="34" customWidth="1"/>
    <col min="5" max="5" width="38" customWidth="1"/>
    <col min="6" max="6" width="24" customWidth="1"/>
    <col min="7" max="8" width="14" customWidth="1"/>
  </cols>
  <sheetData>
    <row r="1" spans="1:8" ht="20.100000000000001" customHeight="1">
      <c r="A1" s="27" t="s">
        <v>121</v>
      </c>
      <c r="B1" s="27"/>
      <c r="C1" s="27"/>
      <c r="D1" s="27"/>
      <c r="E1" s="27"/>
      <c r="F1" s="27"/>
      <c r="G1" s="27"/>
      <c r="H1" s="27"/>
    </row>
    <row r="2" spans="1:8" ht="15">
      <c r="A2" s="1" t="s">
        <v>122</v>
      </c>
      <c r="B2" s="15" t="s">
        <v>69</v>
      </c>
      <c r="C2" s="15" t="s">
        <v>123</v>
      </c>
      <c r="D2" s="15" t="s">
        <v>124</v>
      </c>
      <c r="E2" s="15" t="s">
        <v>125</v>
      </c>
      <c r="F2" s="15" t="s">
        <v>126</v>
      </c>
      <c r="G2" s="15" t="s">
        <v>127</v>
      </c>
      <c r="H2" s="2" t="s">
        <v>74</v>
      </c>
    </row>
    <row r="3" spans="1:8" ht="71.25">
      <c r="A3" s="24">
        <v>46252</v>
      </c>
      <c r="B3" s="12" t="s">
        <v>32</v>
      </c>
      <c r="C3" s="12" t="s">
        <v>395</v>
      </c>
      <c r="D3" s="12" t="s">
        <v>405</v>
      </c>
      <c r="E3" s="12" t="s">
        <v>415</v>
      </c>
      <c r="F3" s="12" t="s">
        <v>425</v>
      </c>
      <c r="G3" s="13">
        <v>46252</v>
      </c>
      <c r="H3" s="17" t="s">
        <v>428</v>
      </c>
    </row>
    <row r="4" spans="1:8" ht="85.5">
      <c r="A4" s="24">
        <v>46252</v>
      </c>
      <c r="B4" s="12" t="s">
        <v>32</v>
      </c>
      <c r="C4" s="12" t="s">
        <v>396</v>
      </c>
      <c r="D4" s="12" t="s">
        <v>406</v>
      </c>
      <c r="E4" s="12" t="s">
        <v>416</v>
      </c>
      <c r="F4" s="12" t="s">
        <v>229</v>
      </c>
      <c r="G4" s="13">
        <v>46254</v>
      </c>
      <c r="H4" s="17" t="s">
        <v>428</v>
      </c>
    </row>
    <row r="5" spans="1:8" ht="71.25">
      <c r="A5" s="24">
        <v>46259</v>
      </c>
      <c r="B5" s="12" t="s">
        <v>187</v>
      </c>
      <c r="C5" s="12" t="s">
        <v>397</v>
      </c>
      <c r="D5" s="12" t="s">
        <v>407</v>
      </c>
      <c r="E5" s="12" t="s">
        <v>417</v>
      </c>
      <c r="F5" s="12" t="s">
        <v>233</v>
      </c>
      <c r="G5" s="13" t="s">
        <v>277</v>
      </c>
      <c r="H5" s="17" t="s">
        <v>428</v>
      </c>
    </row>
    <row r="6" spans="1:8" ht="85.5">
      <c r="A6" s="24">
        <v>46260</v>
      </c>
      <c r="B6" s="12" t="s">
        <v>187</v>
      </c>
      <c r="C6" s="12" t="s">
        <v>398</v>
      </c>
      <c r="D6" s="12" t="s">
        <v>408</v>
      </c>
      <c r="E6" s="12" t="s">
        <v>418</v>
      </c>
      <c r="F6" s="12" t="s">
        <v>229</v>
      </c>
      <c r="G6" s="13">
        <v>46265</v>
      </c>
      <c r="H6" s="17" t="s">
        <v>428</v>
      </c>
    </row>
    <row r="7" spans="1:8" ht="71.25">
      <c r="A7" s="24">
        <v>46261</v>
      </c>
      <c r="B7" s="12" t="s">
        <v>187</v>
      </c>
      <c r="C7" s="12" t="s">
        <v>399</v>
      </c>
      <c r="D7" s="12" t="s">
        <v>409</v>
      </c>
      <c r="E7" s="12" t="s">
        <v>419</v>
      </c>
      <c r="F7" s="12" t="s">
        <v>426</v>
      </c>
      <c r="G7" s="13">
        <v>46265</v>
      </c>
      <c r="H7" s="17" t="s">
        <v>428</v>
      </c>
    </row>
    <row r="8" spans="1:8" ht="71.25">
      <c r="A8" s="24">
        <v>46261</v>
      </c>
      <c r="B8" s="12" t="s">
        <v>187</v>
      </c>
      <c r="C8" s="12" t="s">
        <v>400</v>
      </c>
      <c r="D8" s="12" t="s">
        <v>410</v>
      </c>
      <c r="E8" s="12" t="s">
        <v>420</v>
      </c>
      <c r="F8" s="12" t="s">
        <v>427</v>
      </c>
      <c r="G8" s="13" t="s">
        <v>277</v>
      </c>
      <c r="H8" s="17" t="s">
        <v>48</v>
      </c>
    </row>
    <row r="9" spans="1:8" ht="99.75">
      <c r="A9" s="24">
        <v>46262</v>
      </c>
      <c r="B9" s="12" t="s">
        <v>187</v>
      </c>
      <c r="C9" s="12" t="s">
        <v>401</v>
      </c>
      <c r="D9" s="12" t="s">
        <v>411</v>
      </c>
      <c r="E9" s="12" t="s">
        <v>421</v>
      </c>
      <c r="F9" s="12" t="s">
        <v>425</v>
      </c>
      <c r="G9" s="13">
        <v>46265</v>
      </c>
      <c r="H9" s="17" t="s">
        <v>48</v>
      </c>
    </row>
    <row r="10" spans="1:8" ht="71.25">
      <c r="A10" s="24">
        <v>46263</v>
      </c>
      <c r="B10" s="12" t="s">
        <v>187</v>
      </c>
      <c r="C10" s="12" t="s">
        <v>402</v>
      </c>
      <c r="D10" s="12" t="s">
        <v>412</v>
      </c>
      <c r="E10" s="12" t="s">
        <v>422</v>
      </c>
      <c r="F10" s="12" t="s">
        <v>260</v>
      </c>
      <c r="G10" s="13">
        <v>46265</v>
      </c>
      <c r="H10" s="17" t="s">
        <v>428</v>
      </c>
    </row>
    <row r="11" spans="1:8" ht="85.5">
      <c r="A11" s="24">
        <v>46265</v>
      </c>
      <c r="B11" s="12" t="s">
        <v>187</v>
      </c>
      <c r="C11" s="12" t="s">
        <v>403</v>
      </c>
      <c r="D11" s="12" t="s">
        <v>413</v>
      </c>
      <c r="E11" s="12" t="s">
        <v>423</v>
      </c>
      <c r="F11" s="12" t="s">
        <v>425</v>
      </c>
      <c r="G11" s="13">
        <v>46267</v>
      </c>
      <c r="H11" s="17" t="s">
        <v>48</v>
      </c>
    </row>
    <row r="12" spans="1:8" ht="71.25">
      <c r="A12" s="24">
        <v>46265</v>
      </c>
      <c r="B12" s="12" t="s">
        <v>187</v>
      </c>
      <c r="C12" s="36" t="s">
        <v>404</v>
      </c>
      <c r="D12" s="12" t="s">
        <v>414</v>
      </c>
      <c r="E12" s="12" t="s">
        <v>424</v>
      </c>
      <c r="F12" s="12" t="s">
        <v>229</v>
      </c>
      <c r="G12" s="13">
        <v>46267</v>
      </c>
      <c r="H12" s="17" t="s">
        <v>48</v>
      </c>
    </row>
    <row r="13" spans="1:8">
      <c r="A13" s="24"/>
      <c r="B13" s="12"/>
      <c r="C13" s="12"/>
      <c r="D13" s="12"/>
      <c r="E13" s="12"/>
      <c r="F13" s="12"/>
      <c r="G13" s="13"/>
      <c r="H13" s="17"/>
    </row>
    <row r="14" spans="1:8">
      <c r="A14" s="24"/>
      <c r="B14" s="12"/>
      <c r="C14" s="12"/>
      <c r="D14" s="12"/>
      <c r="E14" s="12"/>
      <c r="F14" s="12"/>
      <c r="G14" s="13"/>
      <c r="H14" s="17"/>
    </row>
    <row r="15" spans="1:8">
      <c r="A15" s="24"/>
      <c r="B15" s="12"/>
      <c r="C15" s="12"/>
      <c r="D15" s="12"/>
      <c r="E15" s="12"/>
      <c r="F15" s="12"/>
      <c r="G15" s="13"/>
      <c r="H15" s="17"/>
    </row>
    <row r="16" spans="1:8">
      <c r="A16" s="24"/>
      <c r="B16" s="12"/>
      <c r="C16" s="12"/>
      <c r="D16" s="12"/>
      <c r="E16" s="12"/>
      <c r="F16" s="12"/>
      <c r="G16" s="13"/>
      <c r="H16" s="17"/>
    </row>
    <row r="17" spans="1:8">
      <c r="A17" s="24"/>
      <c r="B17" s="12"/>
      <c r="C17" s="12"/>
      <c r="D17" s="12"/>
      <c r="E17" s="12"/>
      <c r="F17" s="12"/>
      <c r="G17" s="13"/>
      <c r="H17" s="17"/>
    </row>
    <row r="18" spans="1:8">
      <c r="A18" s="24"/>
      <c r="B18" s="12"/>
      <c r="C18" s="12"/>
      <c r="D18" s="12"/>
      <c r="E18" s="12"/>
      <c r="F18" s="12"/>
      <c r="G18" s="13"/>
      <c r="H18" s="17"/>
    </row>
    <row r="19" spans="1:8">
      <c r="A19" s="24"/>
      <c r="B19" s="12"/>
      <c r="C19" s="12"/>
      <c r="D19" s="12"/>
      <c r="E19" s="12"/>
      <c r="F19" s="12"/>
      <c r="G19" s="13"/>
      <c r="H19" s="17"/>
    </row>
    <row r="20" spans="1:8">
      <c r="A20" s="24"/>
      <c r="B20" s="12"/>
      <c r="C20" s="12"/>
      <c r="D20" s="12"/>
      <c r="E20" s="12"/>
      <c r="F20" s="12"/>
      <c r="G20" s="13"/>
      <c r="H20" s="17"/>
    </row>
    <row r="21" spans="1:8">
      <c r="A21" s="24"/>
      <c r="B21" s="12"/>
      <c r="C21" s="12"/>
      <c r="D21" s="12"/>
      <c r="E21" s="12"/>
      <c r="F21" s="12"/>
      <c r="G21" s="13"/>
      <c r="H21" s="17"/>
    </row>
    <row r="22" spans="1:8">
      <c r="A22" s="24"/>
      <c r="B22" s="12"/>
      <c r="C22" s="12"/>
      <c r="D22" s="12"/>
      <c r="E22" s="12"/>
      <c r="F22" s="12"/>
      <c r="G22" s="13"/>
      <c r="H22" s="17"/>
    </row>
    <row r="23" spans="1:8">
      <c r="A23" s="24"/>
      <c r="B23" s="12"/>
      <c r="C23" s="12"/>
      <c r="D23" s="12"/>
      <c r="E23" s="12"/>
      <c r="F23" s="12"/>
      <c r="G23" s="13"/>
      <c r="H23" s="17"/>
    </row>
    <row r="24" spans="1:8">
      <c r="A24" s="24"/>
      <c r="B24" s="12"/>
      <c r="C24" s="12"/>
      <c r="D24" s="12"/>
      <c r="E24" s="12"/>
      <c r="F24" s="12"/>
      <c r="G24" s="13"/>
      <c r="H24" s="17"/>
    </row>
    <row r="25" spans="1:8">
      <c r="A25" s="24"/>
      <c r="B25" s="12"/>
      <c r="C25" s="12"/>
      <c r="D25" s="12"/>
      <c r="E25" s="12"/>
      <c r="F25" s="12"/>
      <c r="G25" s="13"/>
      <c r="H25" s="17"/>
    </row>
    <row r="26" spans="1:8">
      <c r="A26" s="24"/>
      <c r="B26" s="12"/>
      <c r="C26" s="12"/>
      <c r="D26" s="12"/>
      <c r="E26" s="12"/>
      <c r="F26" s="12"/>
      <c r="G26" s="13"/>
      <c r="H26" s="17"/>
    </row>
    <row r="27" spans="1:8">
      <c r="A27" s="24"/>
      <c r="B27" s="12"/>
      <c r="C27" s="12"/>
      <c r="D27" s="12"/>
      <c r="E27" s="12"/>
      <c r="F27" s="12"/>
      <c r="G27" s="13"/>
      <c r="H27" s="17"/>
    </row>
    <row r="28" spans="1:8">
      <c r="A28" s="24"/>
      <c r="B28" s="12"/>
      <c r="C28" s="12"/>
      <c r="D28" s="12"/>
      <c r="E28" s="12"/>
      <c r="F28" s="12"/>
      <c r="G28" s="13"/>
      <c r="H28" s="17"/>
    </row>
    <row r="29" spans="1:8">
      <c r="A29" s="24"/>
      <c r="B29" s="12"/>
      <c r="C29" s="12"/>
      <c r="D29" s="12"/>
      <c r="E29" s="12"/>
      <c r="F29" s="12"/>
      <c r="G29" s="13"/>
      <c r="H29" s="17"/>
    </row>
    <row r="30" spans="1:8">
      <c r="A30" s="24"/>
      <c r="B30" s="12"/>
      <c r="C30" s="12"/>
      <c r="D30" s="12"/>
      <c r="E30" s="12"/>
      <c r="F30" s="12"/>
      <c r="G30" s="13"/>
      <c r="H30" s="17"/>
    </row>
    <row r="31" spans="1:8">
      <c r="A31" s="24"/>
      <c r="B31" s="12"/>
      <c r="C31" s="12"/>
      <c r="D31" s="12"/>
      <c r="E31" s="12"/>
      <c r="F31" s="12"/>
      <c r="G31" s="13"/>
      <c r="H31" s="17"/>
    </row>
    <row r="32" spans="1:8">
      <c r="A32" s="24"/>
      <c r="B32" s="12"/>
      <c r="C32" s="12"/>
      <c r="D32" s="12"/>
      <c r="E32" s="12"/>
      <c r="F32" s="12"/>
      <c r="G32" s="13"/>
      <c r="H32" s="17"/>
    </row>
    <row r="33" spans="1:8">
      <c r="A33" s="24"/>
      <c r="B33" s="12"/>
      <c r="C33" s="12"/>
      <c r="D33" s="12"/>
      <c r="E33" s="12"/>
      <c r="F33" s="12"/>
      <c r="G33" s="13"/>
      <c r="H33" s="17"/>
    </row>
    <row r="34" spans="1:8">
      <c r="A34" s="24"/>
      <c r="B34" s="12"/>
      <c r="C34" s="12"/>
      <c r="D34" s="12"/>
      <c r="E34" s="12"/>
      <c r="F34" s="12"/>
      <c r="G34" s="13"/>
      <c r="H34" s="17"/>
    </row>
    <row r="35" spans="1:8">
      <c r="A35" s="24"/>
      <c r="B35" s="12"/>
      <c r="C35" s="12"/>
      <c r="D35" s="12"/>
      <c r="E35" s="12"/>
      <c r="F35" s="12"/>
      <c r="G35" s="13"/>
      <c r="H35" s="17"/>
    </row>
    <row r="36" spans="1:8">
      <c r="A36" s="24"/>
      <c r="B36" s="12"/>
      <c r="C36" s="12"/>
      <c r="D36" s="12"/>
      <c r="E36" s="12"/>
      <c r="F36" s="12"/>
      <c r="G36" s="13"/>
      <c r="H36" s="17"/>
    </row>
    <row r="37" spans="1:8">
      <c r="A37" s="24"/>
      <c r="B37" s="12"/>
      <c r="C37" s="12"/>
      <c r="D37" s="12"/>
      <c r="E37" s="12"/>
      <c r="F37" s="12"/>
      <c r="G37" s="13"/>
      <c r="H37" s="17"/>
    </row>
    <row r="38" spans="1:8">
      <c r="A38" s="24"/>
      <c r="B38" s="12"/>
      <c r="C38" s="12"/>
      <c r="D38" s="12"/>
      <c r="E38" s="12"/>
      <c r="F38" s="12"/>
      <c r="G38" s="13"/>
      <c r="H38" s="17"/>
    </row>
    <row r="39" spans="1:8">
      <c r="A39" s="24"/>
      <c r="B39" s="12"/>
      <c r="C39" s="12"/>
      <c r="D39" s="12"/>
      <c r="E39" s="12"/>
      <c r="F39" s="12"/>
      <c r="G39" s="13"/>
      <c r="H39" s="17"/>
    </row>
    <row r="40" spans="1:8">
      <c r="A40" s="24"/>
      <c r="B40" s="12"/>
      <c r="C40" s="12"/>
      <c r="D40" s="12"/>
      <c r="E40" s="12"/>
      <c r="F40" s="12"/>
      <c r="G40" s="13"/>
      <c r="H40" s="17"/>
    </row>
    <row r="41" spans="1:8">
      <c r="A41" s="24"/>
      <c r="B41" s="12"/>
      <c r="C41" s="12"/>
      <c r="D41" s="12"/>
      <c r="E41" s="12"/>
      <c r="F41" s="12"/>
      <c r="G41" s="13"/>
      <c r="H41" s="17"/>
    </row>
    <row r="42" spans="1:8">
      <c r="A42" s="24"/>
      <c r="B42" s="12"/>
      <c r="C42" s="12"/>
      <c r="D42" s="12"/>
      <c r="E42" s="12"/>
      <c r="F42" s="12"/>
      <c r="G42" s="13"/>
      <c r="H42" s="17"/>
    </row>
    <row r="43" spans="1:8">
      <c r="A43" s="24"/>
      <c r="B43" s="12"/>
      <c r="C43" s="12"/>
      <c r="D43" s="12"/>
      <c r="E43" s="12"/>
      <c r="F43" s="12"/>
      <c r="G43" s="13"/>
      <c r="H43" s="17"/>
    </row>
    <row r="44" spans="1:8">
      <c r="A44" s="24"/>
      <c r="B44" s="12"/>
      <c r="C44" s="12"/>
      <c r="D44" s="12"/>
      <c r="E44" s="12"/>
      <c r="F44" s="12"/>
      <c r="G44" s="13"/>
      <c r="H44" s="17"/>
    </row>
    <row r="45" spans="1:8">
      <c r="A45" s="24"/>
      <c r="B45" s="12"/>
      <c r="C45" s="12"/>
      <c r="D45" s="12"/>
      <c r="E45" s="12"/>
      <c r="F45" s="12"/>
      <c r="G45" s="13"/>
      <c r="H45" s="17"/>
    </row>
    <row r="46" spans="1:8">
      <c r="A46" s="24"/>
      <c r="B46" s="12"/>
      <c r="C46" s="12"/>
      <c r="D46" s="12"/>
      <c r="E46" s="12"/>
      <c r="F46" s="12"/>
      <c r="G46" s="13"/>
      <c r="H46" s="17"/>
    </row>
    <row r="47" spans="1:8">
      <c r="A47" s="24"/>
      <c r="B47" s="12"/>
      <c r="C47" s="12"/>
      <c r="D47" s="12"/>
      <c r="E47" s="12"/>
      <c r="F47" s="12"/>
      <c r="G47" s="13"/>
      <c r="H47" s="17"/>
    </row>
    <row r="48" spans="1:8">
      <c r="A48" s="24"/>
      <c r="B48" s="12"/>
      <c r="C48" s="12"/>
      <c r="D48" s="12"/>
      <c r="E48" s="12"/>
      <c r="F48" s="12"/>
      <c r="G48" s="13"/>
      <c r="H48" s="17"/>
    </row>
    <row r="49" spans="1:8">
      <c r="A49" s="24"/>
      <c r="B49" s="12"/>
      <c r="C49" s="12"/>
      <c r="D49" s="12"/>
      <c r="E49" s="12"/>
      <c r="F49" s="12"/>
      <c r="G49" s="13"/>
      <c r="H49" s="17"/>
    </row>
    <row r="50" spans="1:8">
      <c r="A50" s="24"/>
      <c r="B50" s="12"/>
      <c r="C50" s="12"/>
      <c r="D50" s="12"/>
      <c r="E50" s="12"/>
      <c r="F50" s="12"/>
      <c r="G50" s="13"/>
      <c r="H50" s="17"/>
    </row>
    <row r="51" spans="1:8">
      <c r="A51" s="24"/>
      <c r="B51" s="12"/>
      <c r="C51" s="12"/>
      <c r="D51" s="12"/>
      <c r="E51" s="12"/>
      <c r="F51" s="12"/>
      <c r="G51" s="13"/>
      <c r="H51" s="17"/>
    </row>
    <row r="52" spans="1:8">
      <c r="A52" s="24"/>
      <c r="B52" s="12"/>
      <c r="C52" s="12"/>
      <c r="D52" s="12"/>
      <c r="E52" s="12"/>
      <c r="F52" s="12"/>
      <c r="G52" s="13"/>
      <c r="H52" s="17"/>
    </row>
    <row r="53" spans="1:8">
      <c r="A53" s="24"/>
      <c r="B53" s="12"/>
      <c r="C53" s="12"/>
      <c r="D53" s="12"/>
      <c r="E53" s="12"/>
      <c r="F53" s="12"/>
      <c r="G53" s="13"/>
      <c r="H53" s="17"/>
    </row>
    <row r="54" spans="1:8">
      <c r="A54" s="24"/>
      <c r="B54" s="12"/>
      <c r="C54" s="12"/>
      <c r="D54" s="12"/>
      <c r="E54" s="12"/>
      <c r="F54" s="12"/>
      <c r="G54" s="13"/>
      <c r="H54" s="17"/>
    </row>
    <row r="55" spans="1:8">
      <c r="A55" s="24"/>
      <c r="B55" s="12"/>
      <c r="C55" s="12"/>
      <c r="D55" s="12"/>
      <c r="E55" s="12"/>
      <c r="F55" s="12"/>
      <c r="G55" s="13"/>
      <c r="H55" s="17"/>
    </row>
    <row r="56" spans="1:8">
      <c r="A56" s="24"/>
      <c r="B56" s="12"/>
      <c r="C56" s="12"/>
      <c r="D56" s="12"/>
      <c r="E56" s="12"/>
      <c r="F56" s="12"/>
      <c r="G56" s="13"/>
      <c r="H56" s="17"/>
    </row>
    <row r="57" spans="1:8">
      <c r="A57" s="24"/>
      <c r="B57" s="12"/>
      <c r="C57" s="12"/>
      <c r="D57" s="12"/>
      <c r="E57" s="12"/>
      <c r="F57" s="12"/>
      <c r="G57" s="13"/>
      <c r="H57" s="17"/>
    </row>
    <row r="58" spans="1:8">
      <c r="A58" s="24"/>
      <c r="B58" s="12"/>
      <c r="C58" s="12"/>
      <c r="D58" s="12"/>
      <c r="E58" s="12"/>
      <c r="F58" s="12"/>
      <c r="G58" s="13"/>
      <c r="H58" s="17"/>
    </row>
    <row r="59" spans="1:8">
      <c r="A59" s="24"/>
      <c r="B59" s="12"/>
      <c r="C59" s="12"/>
      <c r="D59" s="12"/>
      <c r="E59" s="12"/>
      <c r="F59" s="12"/>
      <c r="G59" s="13"/>
      <c r="H59" s="17"/>
    </row>
    <row r="60" spans="1:8">
      <c r="A60" s="24"/>
      <c r="B60" s="12"/>
      <c r="C60" s="12"/>
      <c r="D60" s="12"/>
      <c r="E60" s="12"/>
      <c r="F60" s="12"/>
      <c r="G60" s="13"/>
      <c r="H60" s="17"/>
    </row>
    <row r="61" spans="1:8">
      <c r="A61" s="24"/>
      <c r="B61" s="12"/>
      <c r="C61" s="12"/>
      <c r="D61" s="12"/>
      <c r="E61" s="12"/>
      <c r="F61" s="12"/>
      <c r="G61" s="13"/>
      <c r="H61" s="17"/>
    </row>
    <row r="62" spans="1:8">
      <c r="A62" s="24"/>
      <c r="B62" s="12"/>
      <c r="C62" s="12"/>
      <c r="D62" s="12"/>
      <c r="E62" s="12"/>
      <c r="F62" s="12"/>
      <c r="G62" s="13"/>
      <c r="H62" s="17"/>
    </row>
    <row r="63" spans="1:8">
      <c r="A63" s="24"/>
      <c r="B63" s="12"/>
      <c r="C63" s="12"/>
      <c r="D63" s="12"/>
      <c r="E63" s="12"/>
      <c r="F63" s="12"/>
      <c r="G63" s="13"/>
      <c r="H63" s="17"/>
    </row>
    <row r="64" spans="1:8">
      <c r="A64" s="24"/>
      <c r="B64" s="12"/>
      <c r="C64" s="12"/>
      <c r="D64" s="12"/>
      <c r="E64" s="12"/>
      <c r="F64" s="12"/>
      <c r="G64" s="13"/>
      <c r="H64" s="17"/>
    </row>
    <row r="65" spans="1:8">
      <c r="A65" s="24"/>
      <c r="B65" s="12"/>
      <c r="C65" s="12"/>
      <c r="D65" s="12"/>
      <c r="E65" s="12"/>
      <c r="F65" s="12"/>
      <c r="G65" s="13"/>
      <c r="H65" s="17"/>
    </row>
    <row r="66" spans="1:8">
      <c r="A66" s="24"/>
      <c r="B66" s="12"/>
      <c r="C66" s="12"/>
      <c r="D66" s="12"/>
      <c r="E66" s="12"/>
      <c r="F66" s="12"/>
      <c r="G66" s="13"/>
      <c r="H66" s="17"/>
    </row>
    <row r="67" spans="1:8">
      <c r="A67" s="24"/>
      <c r="B67" s="12"/>
      <c r="C67" s="12"/>
      <c r="D67" s="12"/>
      <c r="E67" s="12"/>
      <c r="F67" s="12"/>
      <c r="G67" s="13"/>
      <c r="H67" s="17"/>
    </row>
    <row r="68" spans="1:8">
      <c r="A68" s="24"/>
      <c r="B68" s="12"/>
      <c r="C68" s="12"/>
      <c r="D68" s="12"/>
      <c r="E68" s="12"/>
      <c r="F68" s="12"/>
      <c r="G68" s="13"/>
      <c r="H68" s="17"/>
    </row>
    <row r="69" spans="1:8">
      <c r="A69" s="24"/>
      <c r="B69" s="12"/>
      <c r="C69" s="12"/>
      <c r="D69" s="12"/>
      <c r="E69" s="12"/>
      <c r="F69" s="12"/>
      <c r="G69" s="13"/>
      <c r="H69" s="17"/>
    </row>
    <row r="70" spans="1:8">
      <c r="A70" s="24"/>
      <c r="B70" s="12"/>
      <c r="C70" s="12"/>
      <c r="D70" s="12"/>
      <c r="E70" s="12"/>
      <c r="F70" s="12"/>
      <c r="G70" s="13"/>
      <c r="H70" s="17"/>
    </row>
    <row r="71" spans="1:8">
      <c r="A71" s="24"/>
      <c r="B71" s="12"/>
      <c r="C71" s="12"/>
      <c r="D71" s="12"/>
      <c r="E71" s="12"/>
      <c r="F71" s="12"/>
      <c r="G71" s="13"/>
      <c r="H71" s="17"/>
    </row>
    <row r="72" spans="1:8">
      <c r="A72" s="24"/>
      <c r="B72" s="12"/>
      <c r="C72" s="12"/>
      <c r="D72" s="12"/>
      <c r="E72" s="12"/>
      <c r="F72" s="12"/>
      <c r="G72" s="13"/>
      <c r="H72" s="17"/>
    </row>
    <row r="73" spans="1:8">
      <c r="A73" s="24"/>
      <c r="B73" s="12"/>
      <c r="C73" s="12"/>
      <c r="D73" s="12"/>
      <c r="E73" s="12"/>
      <c r="F73" s="12"/>
      <c r="G73" s="13"/>
      <c r="H73" s="17"/>
    </row>
    <row r="74" spans="1:8">
      <c r="A74" s="24"/>
      <c r="B74" s="12"/>
      <c r="C74" s="12"/>
      <c r="D74" s="12"/>
      <c r="E74" s="12"/>
      <c r="F74" s="12"/>
      <c r="G74" s="13"/>
      <c r="H74" s="17"/>
    </row>
    <row r="75" spans="1:8">
      <c r="A75" s="24"/>
      <c r="B75" s="12"/>
      <c r="C75" s="12"/>
      <c r="D75" s="12"/>
      <c r="E75" s="12"/>
      <c r="F75" s="12"/>
      <c r="G75" s="13"/>
      <c r="H75" s="17"/>
    </row>
    <row r="76" spans="1:8">
      <c r="A76" s="24"/>
      <c r="B76" s="12"/>
      <c r="C76" s="12"/>
      <c r="D76" s="12"/>
      <c r="E76" s="12"/>
      <c r="F76" s="12"/>
      <c r="G76" s="13"/>
      <c r="H76" s="17"/>
    </row>
    <row r="77" spans="1:8">
      <c r="A77" s="24"/>
      <c r="B77" s="12"/>
      <c r="C77" s="12"/>
      <c r="D77" s="12"/>
      <c r="E77" s="12"/>
      <c r="F77" s="12"/>
      <c r="G77" s="13"/>
      <c r="H77" s="17"/>
    </row>
    <row r="78" spans="1:8">
      <c r="A78" s="24"/>
      <c r="B78" s="12"/>
      <c r="C78" s="12"/>
      <c r="D78" s="12"/>
      <c r="E78" s="12"/>
      <c r="F78" s="12"/>
      <c r="G78" s="13"/>
      <c r="H78" s="17"/>
    </row>
    <row r="79" spans="1:8">
      <c r="A79" s="24"/>
      <c r="B79" s="12"/>
      <c r="C79" s="12"/>
      <c r="D79" s="12"/>
      <c r="E79" s="12"/>
      <c r="F79" s="12"/>
      <c r="G79" s="13"/>
      <c r="H79" s="17"/>
    </row>
    <row r="80" spans="1:8">
      <c r="A80" s="24"/>
      <c r="B80" s="12"/>
      <c r="C80" s="12"/>
      <c r="D80" s="12"/>
      <c r="E80" s="12"/>
      <c r="F80" s="12"/>
      <c r="G80" s="13"/>
      <c r="H80" s="17"/>
    </row>
    <row r="81" spans="1:8">
      <c r="A81" s="24"/>
      <c r="B81" s="12"/>
      <c r="C81" s="12"/>
      <c r="D81" s="12"/>
      <c r="E81" s="12"/>
      <c r="F81" s="12"/>
      <c r="G81" s="13"/>
      <c r="H81" s="17"/>
    </row>
    <row r="82" spans="1:8">
      <c r="A82" s="24"/>
      <c r="B82" s="12"/>
      <c r="C82" s="12"/>
      <c r="D82" s="12"/>
      <c r="E82" s="12"/>
      <c r="F82" s="12"/>
      <c r="G82" s="13"/>
      <c r="H82" s="17"/>
    </row>
    <row r="83" spans="1:8">
      <c r="A83" s="24"/>
      <c r="B83" s="12"/>
      <c r="C83" s="12"/>
      <c r="D83" s="12"/>
      <c r="E83" s="12"/>
      <c r="F83" s="12"/>
      <c r="G83" s="13"/>
      <c r="H83" s="17"/>
    </row>
    <row r="84" spans="1:8">
      <c r="A84" s="24"/>
      <c r="B84" s="12"/>
      <c r="C84" s="12"/>
      <c r="D84" s="12"/>
      <c r="E84" s="12"/>
      <c r="F84" s="12"/>
      <c r="G84" s="13"/>
      <c r="H84" s="17"/>
    </row>
    <row r="85" spans="1:8">
      <c r="A85" s="24"/>
      <c r="B85" s="12"/>
      <c r="C85" s="12"/>
      <c r="D85" s="12"/>
      <c r="E85" s="12"/>
      <c r="F85" s="12"/>
      <c r="G85" s="13"/>
      <c r="H85" s="17"/>
    </row>
    <row r="86" spans="1:8">
      <c r="A86" s="24"/>
      <c r="B86" s="12"/>
      <c r="C86" s="12"/>
      <c r="D86" s="12"/>
      <c r="E86" s="12"/>
      <c r="F86" s="12"/>
      <c r="G86" s="13"/>
      <c r="H86" s="17"/>
    </row>
    <row r="87" spans="1:8">
      <c r="A87" s="24"/>
      <c r="B87" s="12"/>
      <c r="C87" s="12"/>
      <c r="D87" s="12"/>
      <c r="E87" s="12"/>
      <c r="F87" s="12"/>
      <c r="G87" s="13"/>
      <c r="H87" s="17"/>
    </row>
    <row r="88" spans="1:8">
      <c r="A88" s="24"/>
      <c r="B88" s="12"/>
      <c r="C88" s="12"/>
      <c r="D88" s="12"/>
      <c r="E88" s="12"/>
      <c r="F88" s="12"/>
      <c r="G88" s="13"/>
      <c r="H88" s="17"/>
    </row>
    <row r="89" spans="1:8">
      <c r="A89" s="24"/>
      <c r="B89" s="12"/>
      <c r="C89" s="12"/>
      <c r="D89" s="12"/>
      <c r="E89" s="12"/>
      <c r="F89" s="12"/>
      <c r="G89" s="13"/>
      <c r="H89" s="17"/>
    </row>
    <row r="90" spans="1:8">
      <c r="A90" s="24"/>
      <c r="B90" s="12"/>
      <c r="C90" s="12"/>
      <c r="D90" s="12"/>
      <c r="E90" s="12"/>
      <c r="F90" s="12"/>
      <c r="G90" s="13"/>
      <c r="H90" s="17"/>
    </row>
    <row r="91" spans="1:8">
      <c r="A91" s="24"/>
      <c r="B91" s="12"/>
      <c r="C91" s="12"/>
      <c r="D91" s="12"/>
      <c r="E91" s="12"/>
      <c r="F91" s="12"/>
      <c r="G91" s="13"/>
      <c r="H91" s="17"/>
    </row>
    <row r="92" spans="1:8">
      <c r="A92" s="24"/>
      <c r="B92" s="12"/>
      <c r="C92" s="12"/>
      <c r="D92" s="12"/>
      <c r="E92" s="12"/>
      <c r="F92" s="12"/>
      <c r="G92" s="13"/>
      <c r="H92" s="17"/>
    </row>
    <row r="93" spans="1:8">
      <c r="A93" s="24"/>
      <c r="B93" s="12"/>
      <c r="C93" s="12"/>
      <c r="D93" s="12"/>
      <c r="E93" s="12"/>
      <c r="F93" s="12"/>
      <c r="G93" s="13"/>
      <c r="H93" s="17"/>
    </row>
    <row r="94" spans="1:8">
      <c r="A94" s="24"/>
      <c r="B94" s="12"/>
      <c r="C94" s="12"/>
      <c r="D94" s="12"/>
      <c r="E94" s="12"/>
      <c r="F94" s="12"/>
      <c r="G94" s="13"/>
      <c r="H94" s="17"/>
    </row>
    <row r="95" spans="1:8">
      <c r="A95" s="24"/>
      <c r="B95" s="12"/>
      <c r="C95" s="12"/>
      <c r="D95" s="12"/>
      <c r="E95" s="12"/>
      <c r="F95" s="12"/>
      <c r="G95" s="13"/>
      <c r="H95" s="17"/>
    </row>
    <row r="96" spans="1:8">
      <c r="A96" s="24"/>
      <c r="B96" s="12"/>
      <c r="C96" s="12"/>
      <c r="D96" s="12"/>
      <c r="E96" s="12"/>
      <c r="F96" s="12"/>
      <c r="G96" s="13"/>
      <c r="H96" s="17"/>
    </row>
    <row r="97" spans="1:8">
      <c r="A97" s="24"/>
      <c r="B97" s="12"/>
      <c r="C97" s="12"/>
      <c r="D97" s="12"/>
      <c r="E97" s="12"/>
      <c r="F97" s="12"/>
      <c r="G97" s="13"/>
      <c r="H97" s="17"/>
    </row>
    <row r="98" spans="1:8">
      <c r="A98" s="24"/>
      <c r="B98" s="12"/>
      <c r="C98" s="12"/>
      <c r="D98" s="12"/>
      <c r="E98" s="12"/>
      <c r="F98" s="12"/>
      <c r="G98" s="13"/>
      <c r="H98" s="17"/>
    </row>
    <row r="99" spans="1:8">
      <c r="A99" s="24"/>
      <c r="B99" s="12"/>
      <c r="C99" s="12"/>
      <c r="D99" s="12"/>
      <c r="E99" s="12"/>
      <c r="F99" s="12"/>
      <c r="G99" s="13"/>
      <c r="H99" s="17"/>
    </row>
    <row r="100" spans="1:8">
      <c r="A100" s="24"/>
      <c r="B100" s="12"/>
      <c r="C100" s="12"/>
      <c r="D100" s="12"/>
      <c r="E100" s="12"/>
      <c r="F100" s="12"/>
      <c r="G100" s="13"/>
      <c r="H100" s="17"/>
    </row>
    <row r="101" spans="1:8">
      <c r="A101" s="25"/>
      <c r="B101" s="19"/>
      <c r="C101" s="19"/>
      <c r="D101" s="19"/>
      <c r="E101" s="19"/>
      <c r="F101" s="19"/>
      <c r="G101" s="20"/>
      <c r="H101" s="22"/>
    </row>
  </sheetData>
  <mergeCells count="1">
    <mergeCell ref="A1:H1"/>
  </mergeCells>
  <phoneticPr fontId="8" type="noConversion"/>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election activeCell="D15" sqref="D15"/>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20.100000000000001" customHeight="1">
      <c r="A1" s="27" t="s">
        <v>128</v>
      </c>
      <c r="B1" s="27"/>
      <c r="C1" s="27"/>
      <c r="D1" s="27"/>
      <c r="E1" s="27"/>
      <c r="F1" s="27"/>
    </row>
    <row r="3" spans="1:6" ht="15">
      <c r="A3" s="1" t="s">
        <v>129</v>
      </c>
      <c r="B3" s="2" t="s">
        <v>42</v>
      </c>
      <c r="D3" s="28" t="s">
        <v>130</v>
      </c>
      <c r="E3" s="29"/>
      <c r="F3" s="30"/>
    </row>
    <row r="4" spans="1:6" ht="15">
      <c r="A4" s="3" t="s">
        <v>53</v>
      </c>
      <c r="B4" s="7" t="s">
        <v>32</v>
      </c>
      <c r="D4" s="3" t="s">
        <v>131</v>
      </c>
      <c r="E4" s="26" t="s">
        <v>237</v>
      </c>
    </row>
    <row r="5" spans="1:6" ht="15">
      <c r="A5" s="3" t="s">
        <v>55</v>
      </c>
      <c r="B5" s="7" t="s">
        <v>175</v>
      </c>
      <c r="D5" s="3" t="s">
        <v>132</v>
      </c>
      <c r="E5" s="26" t="s">
        <v>237</v>
      </c>
    </row>
    <row r="6" spans="1:6" ht="15">
      <c r="A6" s="3" t="s">
        <v>133</v>
      </c>
      <c r="B6" s="7" t="s">
        <v>46</v>
      </c>
      <c r="D6" s="3" t="s">
        <v>134</v>
      </c>
      <c r="E6" s="26" t="s">
        <v>237</v>
      </c>
    </row>
    <row r="7" spans="1:6" ht="39.950000000000003" customHeight="1">
      <c r="A7" s="3" t="s">
        <v>135</v>
      </c>
      <c r="B7" s="7" t="s">
        <v>429</v>
      </c>
      <c r="D7" s="3" t="s">
        <v>136</v>
      </c>
      <c r="E7" s="26" t="s">
        <v>237</v>
      </c>
    </row>
    <row r="8" spans="1:6" ht="39.950000000000003" customHeight="1">
      <c r="A8" s="3" t="s">
        <v>137</v>
      </c>
      <c r="B8" s="7" t="s">
        <v>430</v>
      </c>
      <c r="D8" s="3" t="s">
        <v>138</v>
      </c>
      <c r="E8" s="26" t="s">
        <v>237</v>
      </c>
    </row>
    <row r="9" spans="1:6" ht="39.950000000000003" customHeight="1">
      <c r="A9" s="3" t="s">
        <v>139</v>
      </c>
      <c r="B9" s="7" t="s">
        <v>431</v>
      </c>
      <c r="D9" s="3" t="s">
        <v>140</v>
      </c>
      <c r="E9" s="26" t="s">
        <v>237</v>
      </c>
    </row>
    <row r="10" spans="1:6" ht="39.950000000000003" customHeight="1">
      <c r="A10" s="3" t="s">
        <v>141</v>
      </c>
      <c r="B10" s="7" t="s">
        <v>432</v>
      </c>
      <c r="D10" s="3" t="s">
        <v>142</v>
      </c>
      <c r="E10" s="26" t="s">
        <v>237</v>
      </c>
    </row>
    <row r="11" spans="1:6" ht="39.950000000000003" customHeight="1">
      <c r="A11" s="3" t="s">
        <v>143</v>
      </c>
      <c r="B11" s="7" t="s">
        <v>433</v>
      </c>
      <c r="D11" s="3" t="s">
        <v>144</v>
      </c>
      <c r="E11" s="26" t="s">
        <v>237</v>
      </c>
    </row>
    <row r="12" spans="1:6" ht="39.950000000000003" customHeight="1">
      <c r="A12" s="3" t="s">
        <v>145</v>
      </c>
      <c r="B12" s="7" t="s">
        <v>434</v>
      </c>
      <c r="D12" s="5" t="s">
        <v>146</v>
      </c>
      <c r="E12" s="26" t="s">
        <v>237</v>
      </c>
    </row>
    <row r="13" spans="1:6" ht="39.950000000000003" customHeight="1">
      <c r="A13" s="5" t="s">
        <v>147</v>
      </c>
      <c r="B13" s="9" t="s">
        <v>435</v>
      </c>
    </row>
  </sheetData>
  <mergeCells count="2">
    <mergeCell ref="A1:F1"/>
    <mergeCell ref="D3:F3"/>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workbookViewId="0">
      <selection activeCell="E4" sqref="E4"/>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20.100000000000001" customHeight="1">
      <c r="A1" s="27" t="s">
        <v>29</v>
      </c>
      <c r="B1" s="27"/>
      <c r="C1" s="27"/>
      <c r="D1" s="27"/>
      <c r="E1" s="27"/>
      <c r="F1" s="27"/>
    </row>
    <row r="3" spans="1:6" ht="15">
      <c r="A3" s="1" t="s">
        <v>148</v>
      </c>
      <c r="B3" s="2" t="s">
        <v>42</v>
      </c>
      <c r="D3" s="28" t="s">
        <v>149</v>
      </c>
      <c r="E3" s="29"/>
      <c r="F3" s="30"/>
    </row>
    <row r="4" spans="1:6" ht="27.95" customHeight="1">
      <c r="A4" s="3" t="s">
        <v>53</v>
      </c>
      <c r="B4" s="7" t="s">
        <v>187</v>
      </c>
      <c r="D4" s="3" t="s">
        <v>150</v>
      </c>
      <c r="E4" s="4" t="s">
        <v>151</v>
      </c>
    </row>
    <row r="5" spans="1:6" ht="27.95" customHeight="1">
      <c r="A5" s="3" t="s">
        <v>47</v>
      </c>
      <c r="B5" s="7" t="s">
        <v>172</v>
      </c>
      <c r="D5" s="3" t="s">
        <v>152</v>
      </c>
      <c r="E5" s="4" t="s">
        <v>153</v>
      </c>
    </row>
    <row r="6" spans="1:6" ht="27.95" customHeight="1">
      <c r="A6" s="3" t="s">
        <v>154</v>
      </c>
      <c r="B6" s="7" t="s">
        <v>436</v>
      </c>
      <c r="D6" s="3" t="s">
        <v>155</v>
      </c>
      <c r="E6" s="4" t="s">
        <v>156</v>
      </c>
    </row>
    <row r="7" spans="1:6" ht="27.95" customHeight="1">
      <c r="A7" s="3" t="s">
        <v>157</v>
      </c>
      <c r="B7" s="7" t="s">
        <v>437</v>
      </c>
      <c r="D7" s="3" t="s">
        <v>158</v>
      </c>
      <c r="E7" s="4" t="s">
        <v>159</v>
      </c>
    </row>
    <row r="8" spans="1:6" ht="27.95" customHeight="1">
      <c r="A8" s="3" t="s">
        <v>160</v>
      </c>
      <c r="B8" s="7" t="s">
        <v>438</v>
      </c>
      <c r="D8" s="5" t="s">
        <v>161</v>
      </c>
      <c r="E8" s="6" t="s">
        <v>162</v>
      </c>
    </row>
    <row r="9" spans="1:6" ht="49.35" customHeight="1">
      <c r="A9" s="3" t="s">
        <v>163</v>
      </c>
      <c r="B9" s="7" t="s">
        <v>439</v>
      </c>
    </row>
    <row r="10" spans="1:6" ht="49.35" customHeight="1">
      <c r="A10" s="3" t="s">
        <v>164</v>
      </c>
      <c r="B10" s="7" t="s">
        <v>440</v>
      </c>
    </row>
    <row r="11" spans="1:6" ht="49.35" customHeight="1">
      <c r="A11" s="3" t="s">
        <v>165</v>
      </c>
      <c r="B11" s="7" t="s">
        <v>441</v>
      </c>
    </row>
    <row r="12" spans="1:6" ht="49.35" customHeight="1">
      <c r="A12" s="3" t="s">
        <v>166</v>
      </c>
      <c r="B12" s="7" t="s">
        <v>442</v>
      </c>
    </row>
    <row r="13" spans="1:6" ht="49.35" customHeight="1">
      <c r="A13" s="3" t="s">
        <v>167</v>
      </c>
      <c r="B13" s="7" t="s">
        <v>443</v>
      </c>
    </row>
    <row r="14" spans="1:6" ht="49.35" customHeight="1">
      <c r="A14" s="3" t="s">
        <v>168</v>
      </c>
      <c r="B14" s="7" t="s">
        <v>444</v>
      </c>
    </row>
    <row r="15" spans="1:6" ht="49.35" customHeight="1">
      <c r="A15" s="5" t="s">
        <v>169</v>
      </c>
      <c r="B15" s="9" t="s">
        <v>445</v>
      </c>
    </row>
  </sheetData>
  <mergeCells count="2">
    <mergeCell ref="A1:F1"/>
    <mergeCell ref="D3:F3"/>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E5490</dc:creator>
  <cp:lastModifiedBy>Pali Nyakallo</cp:lastModifiedBy>
  <dcterms:created xsi:type="dcterms:W3CDTF">2026-08-31T19:26:30Z</dcterms:created>
  <dcterms:modified xsi:type="dcterms:W3CDTF">2026-08-31T19:27:02Z</dcterms:modified>
</cp:coreProperties>
</file>