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oits\Downloads\"/>
    </mc:Choice>
  </mc:AlternateContent>
  <xr:revisionPtr revIDLastSave="0" documentId="13_ncr:1_{6221F95B-F02A-4624-BE25-813BAF56B575}" xr6:coauthVersionLast="47" xr6:coauthVersionMax="47" xr10:uidLastSave="{00000000-0000-0000-0000-000000000000}"/>
  <bookViews>
    <workbookView xWindow="-108" yWindow="-108" windowWidth="23256" windowHeight="12456" activeTab="4"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8" i="3" l="1"/>
  <c r="M89" i="3"/>
  <c r="M90" i="3"/>
  <c r="M87" i="3"/>
  <c r="M86" i="3"/>
  <c r="M85" i="3"/>
  <c r="M84" i="3"/>
  <c r="M83" i="3"/>
  <c r="M82" i="3"/>
  <c r="M81" i="3"/>
  <c r="M80" i="3"/>
  <c r="M79" i="3"/>
  <c r="M78" i="3"/>
  <c r="M77" i="3"/>
  <c r="M76" i="3"/>
  <c r="M75" i="3"/>
  <c r="M74" i="3"/>
  <c r="M73" i="3"/>
  <c r="M72" i="3"/>
  <c r="M71"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G9" i="2" s="1"/>
  <c r="M8" i="3"/>
  <c r="M7" i="3"/>
  <c r="M6" i="3"/>
  <c r="M5" i="3"/>
  <c r="M4" i="3"/>
  <c r="M3" i="3"/>
  <c r="G15" i="2"/>
  <c r="G14" i="2"/>
  <c r="G13" i="2"/>
  <c r="G12" i="2"/>
  <c r="B11" i="2"/>
  <c r="G8" i="2"/>
  <c r="G7" i="2"/>
  <c r="G6" i="2"/>
  <c r="G5" i="2"/>
  <c r="G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<sst xmlns="http://schemas.openxmlformats.org/spreadsheetml/2006/main" count="1642" uniqueCount="758">
  <si>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</si>
  <si>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</si>
  <si>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</si>
  <si>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</si>
  <si>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</si>
  <si>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</si>
  <si>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</si>
  <si>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</si>
  <si>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</si>
  <si>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</si>
  <si>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</si>
  <si>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</si>
  <si>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</si>
  <si>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</si>
  <si>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</si>
  <si>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</si>
  <si>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</si>
  <si>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</si>
  <si>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</si>
  <si>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</si>
  <si>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</si>
  <si>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</si>
  <si>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</si>
  <si>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</si>
  <si>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</si>
  <si>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</si>
  <si>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</si>
  <si>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</si>
  <si>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</si>
  <si>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</si>
  <si>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</si>
  <si>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</si>
  <si>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</si>
  <si>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</si>
  <si>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</si>
  <si>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</si>
  <si>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</si>
  <si>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</si>
  <si>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</si>
  <si>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</si>
  <si>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</si>
  <si>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</si>
  <si>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</si>
  <si>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</si>
  <si>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</si>
  <si>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</si>
  <si>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Framework Fanatics</t>
  </si>
  <si>
    <t>Completed</t>
  </si>
  <si>
    <t>Project title</t>
  </si>
  <si>
    <t>Cutting Edge Salon Management &amp; Booking System</t>
  </si>
  <si>
    <t>In Progress</t>
  </si>
  <si>
    <t>Stakeholder or organisation</t>
  </si>
  <si>
    <t>Not Started</t>
  </si>
  <si>
    <t>Group mentor</t>
  </si>
  <si>
    <t>Goitsoene Kgwele</t>
  </si>
  <si>
    <t>Delayed</t>
  </si>
  <si>
    <t>Reporting phase</t>
  </si>
  <si>
    <t>Unit 4 / Phase 3</t>
  </si>
  <si>
    <t>Blocked</t>
  </si>
  <si>
    <t>Reporting period</t>
  </si>
  <si>
    <t>Overdue</t>
  </si>
  <si>
    <t>Overall status</t>
  </si>
  <si>
    <t>Overall % complete</t>
  </si>
  <si>
    <t>Contribution Summary</t>
  </si>
  <si>
    <t>Main achievement</t>
  </si>
  <si>
    <t>Successfully completed the full system architecture and design for the Cutting Edge Salon Management &amp; Booking System. Produced a System Architecture Diagram showing the shared Flutter mobile app (Customer/Stylist roles), ASP.NET Manager Portal, and Supabase backend as one integrated system. Developed Use Case Diagrams for Customer, Stylist and Manager roles with system boundary, associations, &lt;&lt;include&gt;&gt;, &lt;&lt;extend&gt;&gt; and generalization. Created three Sequence Phase 3 focus: complete and verify the integrated Flutter customer/stylist application, ASP.NET manager portal, and shared Supabase backend. Core acceptance priorities are end-to-end booking, double-booking prevention, customer cancellation, cash/card-on-arrival preference, manager booking management, and complete documentation. Progress percentages remain at 0 until the group verifies actual work and records evidence.</t>
  </si>
  <si>
    <t>Contribution entries</t>
  </si>
  <si>
    <t>Main challenge</t>
  </si>
  <si>
    <t>Main delivery risks: integration defects across Flutter, ASP.NET and Supabase; booking conflict/cancellation edge cases; insufficient time for regression testing and documentation before 25 October. Mitigate by prioritising Must Have requirements, testing end-to-end early, assigning owners, and attaching evidence to each completed task.</t>
  </si>
  <si>
    <t>Verified entries</t>
  </si>
  <si>
    <t>Next planned activity</t>
  </si>
  <si>
    <t>Phase 3 focus: complete and verify the integrated Flutter customer/stylist application, ASP.NET</t>
  </si>
  <si>
    <t>Unverified entries</t>
  </si>
  <si>
    <t>Stakeholder engagements</t>
  </si>
  <si>
    <t>Task Progress Tracker</t>
  </si>
  <si>
    <t>Task ID</t>
  </si>
  <si>
    <t>Reporting Phase</t>
  </si>
  <si>
    <t>Activity</t>
  </si>
  <si>
    <t>Task Description</t>
  </si>
  <si>
    <t>Assigned Student(s)</t>
  </si>
  <si>
    <t>Start Date</t>
  </si>
  <si>
    <t>Due Date</t>
  </si>
  <si>
    <t>Status</t>
  </si>
  <si>
    <t>% Complete</t>
  </si>
  <si>
    <t>Evidence / Link</t>
  </si>
  <si>
    <t>Verified by Group</t>
  </si>
  <si>
    <t>Lecturer Comment</t>
  </si>
  <si>
    <t>Progress Flag</t>
  </si>
  <si>
    <t>Column1</t>
  </si>
  <si>
    <t>U1-01</t>
  </si>
  <si>
    <t>Activity 1.1</t>
  </si>
  <si>
    <t>Identify and confirm the external stakeholder</t>
  </si>
  <si>
    <t>Interview notes and photos</t>
  </si>
  <si>
    <t>Yes</t>
  </si>
  <si>
    <t>U1-02</t>
  </si>
  <si>
    <t>Document the current process and problem</t>
  </si>
  <si>
    <t>Thabang Zitha</t>
  </si>
  <si>
    <t>SRS -Section 9: Current Process and Diagram</t>
  </si>
  <si>
    <t>U1-03</t>
  </si>
  <si>
    <t>Define the project aim, objectives and scope</t>
  </si>
  <si>
    <t>U1-04</t>
  </si>
  <si>
    <t>Activity 1.2</t>
  </si>
  <si>
    <t>Prepare stakeholder interview questions</t>
  </si>
  <si>
    <t>Goitsoene Kgwele , Thabang Zitha</t>
  </si>
  <si>
    <t xml:space="preserve">SRS Section 4: Purpose, Aim and Objectives, Section 5: Project Scope </t>
  </si>
  <si>
    <t>U1-05</t>
  </si>
  <si>
    <t>Conduct and document the stakeholder interview</t>
  </si>
  <si>
    <t>All members</t>
  </si>
  <si>
    <t>Interview Questions and Responses</t>
  </si>
  <si>
    <t>U1-06</t>
  </si>
  <si>
    <t>Activity 1.3</t>
  </si>
  <si>
    <t>Compile the initial SRS</t>
  </si>
  <si>
    <t>initial SRS document submitted</t>
  </si>
  <si>
    <t>U1-07</t>
  </si>
  <si>
    <t>Create the initial Microsoft Project schedule</t>
  </si>
  <si>
    <t>Yamkela Mazamane</t>
  </si>
  <si>
    <t>Microsoft Project .mpp file</t>
  </si>
  <si>
    <t>U1-08</t>
  </si>
  <si>
    <t>Create and configure the GitHub repository</t>
  </si>
  <si>
    <t>https://github.com/Yamkela47/Group-B-.git</t>
  </si>
  <si>
    <t>U1-09</t>
  </si>
  <si>
    <t>Create the initial Supabase project</t>
  </si>
  <si>
    <t>Nyakallo Pali</t>
  </si>
  <si>
    <t>Supabase Project Setup Screenshot</t>
  </si>
  <si>
    <t>U1-10</t>
  </si>
  <si>
    <t>Complete the progress report and contribution record</t>
  </si>
  <si>
    <t>Project progress tracker</t>
  </si>
  <si>
    <t>U1-11</t>
  </si>
  <si>
    <t>Complete the Unit 1 group reflection</t>
  </si>
  <si>
    <t>Phase 1 group reflection</t>
  </si>
  <si>
    <t>U2-01</t>
  </si>
  <si>
    <t>Unit 2 / Phase 1</t>
  </si>
  <si>
    <t>Activity 2.1</t>
  </si>
  <si>
    <t>Evaluate technical feasibility</t>
  </si>
  <si>
    <t>Unit 2 documentation</t>
  </si>
  <si>
    <t>U2-02</t>
  </si>
  <si>
    <t>Evaluate operational feasibility</t>
  </si>
  <si>
    <t>Bennet Linda</t>
  </si>
  <si>
    <t>U2-03</t>
  </si>
  <si>
    <t>Evaluate economic feasibility</t>
  </si>
  <si>
    <t>U2-04</t>
  </si>
  <si>
    <t>Evaluate schedule feasibility</t>
  </si>
  <si>
    <t>U2-05</t>
  </si>
  <si>
    <t>Evaluate legal feasibility</t>
  </si>
  <si>
    <t>U2-06</t>
  </si>
  <si>
    <t>Evaluate ethical feasibility</t>
  </si>
  <si>
    <t>Goitseone kgwele</t>
  </si>
  <si>
    <t>U2-07</t>
  </si>
  <si>
    <t>Activity 2.2</t>
  </si>
  <si>
    <t>Complete overall feasibility conclusion</t>
  </si>
  <si>
    <t>U2-08</t>
  </si>
  <si>
    <t>Identify project risks (8-12 risks)</t>
  </si>
  <si>
    <t>U2-09</t>
  </si>
  <si>
    <t>Rate likehood and impact of risks</t>
  </si>
  <si>
    <t>Risk Register with likehood and impact ratings</t>
  </si>
  <si>
    <t>U2-10</t>
  </si>
  <si>
    <t>Identify mitigation and contingency actions</t>
  </si>
  <si>
    <t>Risk Register with mitigation and contigency</t>
  </si>
  <si>
    <t>U2-11</t>
  </si>
  <si>
    <t>Assign  risk owners</t>
  </si>
  <si>
    <t>Goitseoene Kgwele</t>
  </si>
  <si>
    <t>Risk register with owners and status</t>
  </si>
  <si>
    <t>U2-12</t>
  </si>
  <si>
    <t>Identify three highest risks</t>
  </si>
  <si>
    <t>Risk register- Three highest Risk identified</t>
  </si>
  <si>
    <t>U2-13</t>
  </si>
  <si>
    <t>Activity 2.3</t>
  </si>
  <si>
    <t>Review feasibility and risk findings</t>
  </si>
  <si>
    <t>U2-14</t>
  </si>
  <si>
    <t xml:space="preserve">Refine project scope </t>
  </si>
  <si>
    <t>U2-15</t>
  </si>
  <si>
    <t xml:space="preserve">Update functional requirement </t>
  </si>
  <si>
    <t>Functional Required SRS</t>
  </si>
  <si>
    <t>U2-16</t>
  </si>
  <si>
    <t>Create requirement change log</t>
  </si>
  <si>
    <t>U2-17</t>
  </si>
  <si>
    <t>update database schema</t>
  </si>
  <si>
    <t>Updated database schema with payment method, cancelled at and cancellation reason</t>
  </si>
  <si>
    <t>U2-18</t>
  </si>
  <si>
    <t>update SRS with Unit 2 work</t>
  </si>
  <si>
    <t>Finalised SRS</t>
  </si>
  <si>
    <t>U2-19</t>
  </si>
  <si>
    <t>Update Microsoft Project schedule</t>
  </si>
  <si>
    <t>U2-20</t>
  </si>
  <si>
    <t>Update GitHub repository</t>
  </si>
  <si>
    <t>U2-21</t>
  </si>
  <si>
    <t xml:space="preserve">Update Project Progress Tracker </t>
  </si>
  <si>
    <t>U2-22</t>
  </si>
  <si>
    <t>Confirm important changes with stakeholder</t>
  </si>
  <si>
    <t>Meeting notes to be recorded</t>
  </si>
  <si>
    <t>U2-23</t>
  </si>
  <si>
    <t>Complete Phase 1 group reflection</t>
  </si>
  <si>
    <t>U2-24</t>
  </si>
  <si>
    <t>Powerpoint presentation</t>
  </si>
  <si>
    <t>Phase 1 PowerPoint Presentation</t>
  </si>
  <si>
    <t>U3-01</t>
  </si>
  <si>
    <t>Unit 3 / Phase 2</t>
  </si>
  <si>
    <t>Activity 3.1</t>
  </si>
  <si>
    <t>Identify main system components (Flutter, ASP.NET, Supabase)</t>
  </si>
  <si>
    <t>System Architecture Diagram</t>
  </si>
  <si>
    <t>U3-02</t>
  </si>
  <si>
    <t>Identify who uses each application (user roles)</t>
  </si>
  <si>
    <t>U3-03</t>
  </si>
  <si>
    <t>Define responsibilities of each component</t>
  </si>
  <si>
    <t>Nyakallo Pali, Bennet Linda</t>
  </si>
  <si>
    <t>System Architecture Diagram explanation</t>
  </si>
  <si>
    <t>U3-04</t>
  </si>
  <si>
    <t>Identify main data flows between components</t>
  </si>
  <si>
    <t>Data flow table; System Architecture Diagram</t>
  </si>
  <si>
    <t>U3-05</t>
  </si>
  <si>
    <t>Draw System Architecture Diagram</t>
  </si>
  <si>
    <t>U3-06</t>
  </si>
  <si>
    <t>Explain the architecture in writing</t>
  </si>
  <si>
    <t>Architecture explanation document</t>
  </si>
  <si>
    <t>U3-07</t>
  </si>
  <si>
    <t>Activity 3.2</t>
  </si>
  <si>
    <t>Identify actors from SRS</t>
  </si>
  <si>
    <t>Use Case Diagram; Actor table</t>
  </si>
  <si>
    <t>U3-08</t>
  </si>
  <si>
    <t>Identify use cases for each actor</t>
  </si>
  <si>
    <t>Use Case Diagram; Use case table</t>
  </si>
  <si>
    <t>U3-09</t>
  </si>
  <si>
    <t>Identify use case relationships (include, extend, generalization)</t>
  </si>
  <si>
    <t>Use Case Diagram with relationships</t>
  </si>
  <si>
    <t>U3-10</t>
  </si>
  <si>
    <t>Draw Use Case Diagram with system boundary</t>
  </si>
  <si>
    <t>Thabang Zitha, Yamkela Mazamane</t>
  </si>
  <si>
    <t>Use Case Diagrams (Customer, Stylist, Manager)</t>
  </si>
  <si>
    <t>U3-11</t>
  </si>
  <si>
    <t>Select important processes for sequence diagrams</t>
  </si>
  <si>
    <t>Process selection document</t>
  </si>
  <si>
    <t>U3-12</t>
  </si>
  <si>
    <t>Draw Sequence Diagram 1: Customer submits appointment request (Flutter - Supabase)</t>
  </si>
  <si>
    <t>Sequence Diagram</t>
  </si>
  <si>
    <t>U3-13</t>
  </si>
  <si>
    <t>Draw Sequence Diagram 2: Staff approves appointment (ASP.NET → Supabase)</t>
  </si>
  <si>
    <t>U3-14</t>
  </si>
  <si>
    <t>Draw Sequence Diagram 3: Manager manages services/prices (ASP.NET - Supabase)</t>
  </si>
  <si>
    <t xml:space="preserve">Sequence Diagram </t>
  </si>
  <si>
    <t>U3-15</t>
  </si>
  <si>
    <t>Identify entities and attributes for ERD</t>
  </si>
  <si>
    <t>ERD; Entity attribute table</t>
  </si>
  <si>
    <t>U3-16</t>
  </si>
  <si>
    <t>Identify primary and foreign keys</t>
  </si>
  <si>
    <t>ERD with PK/FK notation</t>
  </si>
  <si>
    <t>U3-17</t>
  </si>
  <si>
    <t>Draw ERD using diagramming tool</t>
  </si>
  <si>
    <t>Nyakallo Pali, Yamkela Mazamane</t>
  </si>
  <si>
    <t>ERD with cardinality notation</t>
  </si>
  <si>
    <t>U3-18</t>
  </si>
  <si>
    <t>Activity 3.3</t>
  </si>
  <si>
    <t>Review approved requirements and identify required Flutter screens</t>
  </si>
  <si>
    <t>Flutter screen list; Requirement-to-interface alignment table</t>
  </si>
  <si>
    <t>U3-19</t>
  </si>
  <si>
    <t>Review approved requirements and identify required ASP.NET pages</t>
  </si>
  <si>
    <t>ASP.NET page list; Requirement-to-interface alignment table</t>
  </si>
  <si>
    <t>U3-20</t>
  </si>
  <si>
    <t>Create Flutter mobile wireframes</t>
  </si>
  <si>
    <t>Bennet Linda, Yamkela Mazamane</t>
  </si>
  <si>
    <t>Flutter wireframes (Figma)</t>
  </si>
  <si>
    <t>U3-21</t>
  </si>
  <si>
    <t>Create ASP.NET web wireframes</t>
  </si>
  <si>
    <t>Goitsoene Kgwele, Thabang Zitha</t>
  </si>
  <si>
    <t>ASP.NET wireframes (Figma)</t>
  </si>
  <si>
    <t>U3-23</t>
  </si>
  <si>
    <t>Document navigation flow between screens</t>
  </si>
  <si>
    <t>Navigation flow diagram</t>
  </si>
  <si>
    <t>U3-24</t>
  </si>
  <si>
    <t>Check mobile and web integration (Flutter - Supabase - ASP.NET)</t>
  </si>
  <si>
    <t>Interface-to-ERD alignment table</t>
  </si>
  <si>
    <t>U3-25</t>
  </si>
  <si>
    <t>Check interface information against ERD</t>
  </si>
  <si>
    <t xml:space="preserve">	Nyakallo Pali, Bennet Linda</t>
  </si>
  <si>
    <t>Design alignment check / traceability matrix</t>
  </si>
  <si>
    <t>U3-26</t>
  </si>
  <si>
    <t>Check alignment across all design artefacts</t>
  </si>
  <si>
    <t>Working prototype (Flutter &amp; ASP.NET); Figma designs</t>
  </si>
  <si>
    <t>U3-27</t>
  </si>
  <si>
    <t>Build initial working prototype (Flutter + ASP.NET + Supabase)</t>
  </si>
  <si>
    <t xml:space="preserve">	Stakeholder feedback record; prototype demo notes</t>
  </si>
  <si>
    <t>U3-28</t>
  </si>
  <si>
    <t>Present working prototype to stakeholder and obtain feedback</t>
  </si>
  <si>
    <t>Updated wireframes and prototype</t>
  </si>
  <si>
    <t>U3-29</t>
  </si>
  <si>
    <t>Update system design and prototype based on stakeholder feedback</t>
  </si>
  <si>
    <t>Updated Microsoft Project</t>
  </si>
  <si>
    <t>U3-30</t>
  </si>
  <si>
    <t>Update Microsoft Project with Phase 2 progress</t>
  </si>
  <si>
    <t xml:space="preserve">	Yamkela Mazamane</t>
  </si>
  <si>
    <t>U3-31</t>
  </si>
  <si>
    <t>Update GitHub with Phase 2 design documentation</t>
  </si>
  <si>
    <t>Updated Project Progress Tracker</t>
  </si>
  <si>
    <t>U3-32</t>
  </si>
  <si>
    <t xml:space="preserve">Update Project Progress Tracker	</t>
  </si>
  <si>
    <t>Checkpoint readiness checklist</t>
  </si>
  <si>
    <t>U3-33</t>
  </si>
  <si>
    <t>Complete Unit 3 Group Progress Checkpoint</t>
  </si>
  <si>
    <t>U3-34</t>
  </si>
  <si>
    <t>U4-01</t>
  </si>
  <si>
    <t>Activity 4.1</t>
  </si>
  <si>
    <t>Set up and verify development branches, environment configuration, and project dependencie</t>
  </si>
  <si>
    <t>U4-02</t>
  </si>
  <si>
    <t>Implement Supabase schema, relationships, constraints, test data, and Row Level Security policies</t>
  </si>
  <si>
    <t>U4-03</t>
  </si>
  <si>
    <t>Implement Flutter customer/stylist screens and navigation using the approved designs</t>
  </si>
  <si>
    <t>U4-04</t>
  </si>
  <si>
    <t>Implement service catalogue, prices, durations, salon details, operating hours, and Cut and Dye promotion</t>
  </si>
  <si>
    <t>U4-05</t>
  </si>
  <si>
    <t>Implement appointment booking with stylist/date/time selection and input validation</t>
  </si>
  <si>
    <t>U4-06</t>
  </si>
  <si>
    <t>Implement booking conflict detection and availability checks to prevent double bookings</t>
  </si>
  <si>
    <t>U4-07</t>
  </si>
  <si>
    <t>Implement customer cancellation and restore the cancelled appointment slot</t>
  </si>
  <si>
    <t>U4-08</t>
  </si>
  <si>
    <t>Implement cash/card-on-arrival payment preference and display it in booking details</t>
  </si>
  <si>
    <t>U4-09</t>
  </si>
  <si>
    <t>Implement ASP.NET manager authentication and secure access to the manager portal</t>
  </si>
  <si>
    <t>U4-10</t>
  </si>
  <si>
    <t>Implement manager booking dashboard and create, view, update, cancel booking workflows</t>
  </si>
  <si>
    <t>U4-11</t>
  </si>
  <si>
    <t>Implement stylist, service, schedule, and promotion management features within agreed scope</t>
  </si>
  <si>
    <t>Github commit</t>
  </si>
  <si>
    <t>U4-12</t>
  </si>
  <si>
    <t>Activity 4.2</t>
  </si>
  <si>
    <t>Connect Flutter, ASP.NET Core, and Supabase; verify shared data and update flows</t>
  </si>
  <si>
    <t xml:space="preserve">Supabase Project Setup </t>
  </si>
  <si>
    <t>U4-13</t>
  </si>
  <si>
    <t>U4-14</t>
  </si>
  <si>
    <t xml:space="preserve"> test results</t>
  </si>
  <si>
    <t>U4-15</t>
  </si>
  <si>
    <t>U4-16</t>
  </si>
  <si>
    <t>Activity 4.3</t>
  </si>
  <si>
    <t>Update SRS and technical documentation; prepare setup instructions, test evidence, screenshots, and user guidance</t>
  </si>
  <si>
    <t>U4-17</t>
  </si>
  <si>
    <t>Update GitHub, Microsoft Project, task tracker, contribution records, and final submission checklist</t>
  </si>
  <si>
    <t>U4-18</t>
  </si>
  <si>
    <t>Verify final integrated Flutter + Supabase + ASP.NET deliverable and submit all working files/documentation</t>
  </si>
  <si>
    <t>U4-19</t>
  </si>
  <si>
    <t>Prepare presentation slides, demo script, backup screenshots/video, and rehearse demonstration</t>
  </si>
  <si>
    <t>U4-20</t>
  </si>
  <si>
    <t>Presentation</t>
  </si>
  <si>
    <t>Individual Contribution Record</t>
  </si>
  <si>
    <t>Student Name</t>
  </si>
  <si>
    <t>Student Number</t>
  </si>
  <si>
    <t>Assigned Responsibility</t>
  </si>
  <si>
    <t>Work Personally Completed</t>
  </si>
  <si>
    <t>Date Completed</t>
  </si>
  <si>
    <t>Hours Spent</t>
  </si>
  <si>
    <t>Verification Date</t>
  </si>
  <si>
    <t>Notes</t>
  </si>
  <si>
    <t>Stakeholder identification and confirmation</t>
  </si>
  <si>
    <t>Identified and confirmed Cutting Edge Salon as the external stakeholder. Arranged and coordinated the initial stakeholder meeting.</t>
  </si>
  <si>
    <t>SRS - Stakeholders and User Groups, Interview photos</t>
  </si>
  <si>
    <t>25/08/2026</t>
  </si>
  <si>
    <t>Stakeholder interview preparation and conduct</t>
  </si>
  <si>
    <t>Prepared interview questions. Led the stakeholder interview session. Documented key findings and requirements.</t>
  </si>
  <si>
    <t>Interview Questions and Responses, Photos</t>
  </si>
  <si>
    <t>SRS coordination</t>
  </si>
  <si>
    <t>Coordinated the compilation of the initial SRS document. Ensured all 17 sections were completed. Integrated team contributions.</t>
  </si>
  <si>
    <t>Initial SRS Document</t>
  </si>
  <si>
    <t>Ethical feasibility evaluation</t>
  </si>
  <si>
    <t>Evaluated ethical feasibility. Assessed stakeholder informed consent, data collection necessity, and customer empowerment features.</t>
  </si>
  <si>
    <t xml:space="preserve">Unit 2 documentation </t>
  </si>
  <si>
    <t>29/08/2026</t>
  </si>
  <si>
    <t>Risk register oversight</t>
  </si>
  <si>
    <t>Oversaw the creation of the risk register. Prepared risk register format. Reviewed all 10 risks for completeness.</t>
  </si>
  <si>
    <t>Unit 2 documentation - Risk Registe</t>
  </si>
  <si>
    <t>Phase 1 group reflection coordination</t>
  </si>
  <si>
    <t>Coordinated and documented the Phase 1 group reflection. Compiled responses from all members.</t>
  </si>
  <si>
    <t>Unit 2 documentation - Phase 1 Group Reflection</t>
  </si>
  <si>
    <t>31/08/2026</t>
  </si>
  <si>
    <t>Additional</t>
  </si>
  <si>
    <t>GenAI course participation</t>
  </si>
  <si>
    <t>Actively participated in the GenAI course conducted by Ms Lonergan for Supabase and ASP.NET skill enhancement.</t>
  </si>
  <si>
    <t>Ongoing</t>
  </si>
  <si>
    <t>GenAI course attendance records</t>
  </si>
  <si>
    <t>4 members enrolled</t>
  </si>
  <si>
    <t>User roles identification</t>
  </si>
  <si>
    <t>Identified all system users and roles (Customer, Stylist, Manager). Documented who uses Flutter vs ASP.NET and their main purposes.</t>
  </si>
  <si>
    <t>ASP.NET page identification</t>
  </si>
  <si>
    <t>(Login, Dashboard, Bookings, Stylists, Services &amp; Promotions, Schedule, Reports, Gallery, My Profile)</t>
  </si>
  <si>
    <t>ASP.NET page list; Requirement-to-interface alignment table</t>
  </si>
  <si>
    <t>ASP.NET wireframe creation</t>
  </si>
  <si>
    <t>Created ASP.NET web wireframes using Figma for all main pages. Focused on layout, navigation, labels, input fields, buttons, tables, and user actions.</t>
  </si>
  <si>
    <t>ASP.NET wireframes (Figma)</t>
  </si>
  <si>
    <t>Stakeholder feedback</t>
  </si>
  <si>
    <t xml:space="preserve">	Organised and conducted stakeholder feedback session. Presented designs and gathered feedback. Documented comments and changes requested.</t>
  </si>
  <si>
    <t>Stakeholder feedback record</t>
  </si>
  <si>
    <t>Checkpoint</t>
  </si>
  <si>
    <t>Unit 3 Group Progress Checkpoint</t>
  </si>
  <si>
    <t>Reviewed all Phase 2 artefacts against checkpoint requirements. Confirmed completeness of architecture, UML, ERD, and interface designs.</t>
  </si>
  <si>
    <t>Continued participation in GenAI</t>
  </si>
  <si>
    <t>Project Progress Tracker; GitHub repository https://github.com/Yamkela47/Group-B-.git</t>
  </si>
  <si>
    <t xml:space="preserve">Thabang Zitha	</t>
  </si>
  <si>
    <t>Current process and problem documentation</t>
  </si>
  <si>
    <t>Documented the current manual process. Created process flow diagram. Wrote the problem statement.</t>
  </si>
  <si>
    <t>SRS: Current Process and Diagram</t>
  </si>
  <si>
    <t>Project aim, objectives and scope definition</t>
  </si>
  <si>
    <t>Defined project aim, 8 objectives, and project scope including deliverables, acceptance criteria, exclusions, constraints, and assumptions.</t>
  </si>
  <si>
    <t>SRS - Purpose, Aim and Objectives, Project Scope</t>
  </si>
  <si>
    <t>Stakeholder interview preparation</t>
  </si>
  <si>
    <t>Prepared interview questions for stakeholder. Ensured all key areas were covered.</t>
  </si>
  <si>
    <t>Functional requirements documentation</t>
  </si>
  <si>
    <t>Documented 17 functional requirements. Created requirements prioritisation using MoSCoW method.</t>
  </si>
  <si>
    <t>SRS : Functional Requirements, MoSCoW</t>
  </si>
  <si>
    <t>Non-functional requirements documentation</t>
  </si>
  <si>
    <t>Documented 8 non-functional requirements covering usability, performance, security, availability, and quality.</t>
  </si>
  <si>
    <t>SRS: Non-Functional Requirements</t>
  </si>
  <si>
    <t>Legal feasibility evaluation</t>
  </si>
  <si>
    <t xml:space="preserve">	Evaluated legal feasibility. Assessed data protection, privacy, personal information collection, and GitHub security measures.</t>
  </si>
  <si>
    <t>Refine project scope</t>
  </si>
  <si>
    <t>Refined project scope based on feasibility findings. Documented decisions for each function (Keep, Simplify, Postpone, Remove).</t>
  </si>
  <si>
    <t>Unit 2 documentation - Refined Project Scope</t>
  </si>
  <si>
    <t>Update functional requirements (FR-08, FR-18)</t>
  </si>
  <si>
    <t>Added FR-08 (Customer Cancellation) and FR-18 (Payment Method Selection) as Must Have requirements based on lecturer feedback. Updated MoSCoW prioritisation.</t>
  </si>
  <si>
    <t>SRS: Functional Requirements, MoSCoW</t>
  </si>
  <si>
    <t>Create requirements change log</t>
  </si>
  <si>
    <t xml:space="preserve">	Created comprehensive requirements change log documenting all changes including FR-08 (changed to Must Have), FR-18 (new), FR-09 (simplified), FR-13 (postponed).</t>
  </si>
  <si>
    <t>Unit 2 documentation - Requirements Change Lo</t>
  </si>
  <si>
    <t>Actively participated in the GenAI course conducted by Ms Lonergan for Supabase and ASP.NET skill enhancement.</t>
  </si>
  <si>
    <t>Actor identification</t>
  </si>
  <si>
    <t xml:space="preserve">	Identified all actors from SRS (Customer, Stylist, Manager). Documented what each actor needs to do.</t>
  </si>
  <si>
    <t>Use case identification</t>
  </si>
  <si>
    <t>Identified use cases for each actor using clear verb + object names. Created use case table mapping actors to possible use cases.</t>
  </si>
  <si>
    <t>Use case relationships</t>
  </si>
  <si>
    <t xml:space="preserve">	Identified appropriate &lt;&lt;include&gt;&gt;, &lt;&lt;extend&gt;&gt; and generalization relationships. Justified each relationship based on system logic.</t>
  </si>
  <si>
    <t>Use Case Diagram creation</t>
  </si>
  <si>
    <t>Drew complete Use Case Diagrams with system boundary</t>
  </si>
  <si>
    <t>ASP.NET wireframe creation</t>
  </si>
  <si>
    <t>Created ASP.NET web wireframes using Figma. Focused on layout, navigation, labels, input fields, buttons, tables, and user actions.</t>
  </si>
  <si>
    <t xml:space="preserve">	ASP.NET wireframes (Figma)</t>
  </si>
  <si>
    <t>Activity 4.1 / 4.3</t>
  </si>
  <si>
    <t>GitHub repository https://github.com/Yamkela47/Group-B-.git; Unit 4 SRS</t>
  </si>
  <si>
    <t>Continued participation in GenAI course for Supabase and ASP.NET skill enhancement.</t>
  </si>
  <si>
    <t>Stakeholder interview participation</t>
  </si>
  <si>
    <t>Participated in the stakeholder interview. Took notes on technical requirements and backend preferences.</t>
  </si>
  <si>
    <t>Initial SRS - Backend and integration sections</t>
  </si>
  <si>
    <t>Contributed to SRS sections including System Requirements, Integration Requirements, and Main ASP.NET and Supabase Functions.</t>
  </si>
  <si>
    <t>SRS - System Requirements,: Integration Requirements, Main Functions</t>
  </si>
  <si>
    <t>Supabase project setup</t>
  </si>
  <si>
    <t xml:space="preserve">	Created the initial Supabase project for Cutting Edge SMS. Configured database tables for Users, Bookings, Services, and Stylists.</t>
  </si>
  <si>
    <t>Technical feasibility evaluation</t>
  </si>
  <si>
    <t>Led the technical feasibility evaluation. Assessed Flutter, ASP.NET, and Supabase skills. Identified technical strengths and limitations. Determined GenAI course participation benefits.</t>
  </si>
  <si>
    <t>Unit 2 documentation -  Technical Feasibility</t>
  </si>
  <si>
    <t>Risk identification (R01, R04, R06)</t>
  </si>
  <si>
    <t xml:space="preserve">	Identified and documented technical risks: R01 (Supabase integration), R04 (integration delays), R06 (email system failure). Provided mitigation and contingency actions.</t>
  </si>
  <si>
    <t>Unit 2 documentation -  Risk Register</t>
  </si>
  <si>
    <t xml:space="preserve">	Update database schema</t>
  </si>
  <si>
    <t>Designed and documented database schema updates including payment_method (VARCHAR 10), cancelled_at (TIMESTAMP), and cancellation_reason (VARCHAR 255) fields for the Bookings table.</t>
  </si>
  <si>
    <t xml:space="preserve">	Unit 2 documentation - Database Schema Update</t>
  </si>
  <si>
    <t>SRS update - Feasibility section</t>
  </si>
  <si>
    <t>Integrated the complete feasibility study into the SRS document. Ensured all 6 feasibility areas were properly documented.</t>
  </si>
  <si>
    <t>Updated SRS - Feasibility Study</t>
  </si>
  <si>
    <t>System components identification</t>
  </si>
  <si>
    <t>Identified main system components (Flutter, ASP.NET, Supabase Auth, Supabase Database, Supabase Storage).</t>
  </si>
  <si>
    <t xml:space="preserve">	Activity 3.1</t>
  </si>
  <si>
    <t>Component responsibilities</t>
  </si>
  <si>
    <t>Defined responsibilities of each component (Flutter, ASP.NET, Supabase). Explained what each component is responsible for.</t>
  </si>
  <si>
    <t xml:space="preserve">	Data flow identification</t>
  </si>
  <si>
    <t>Identified main data flows between components. Documented information exchanged between Flutter, ASP.NET and Supabase.</t>
  </si>
  <si>
    <t xml:space="preserve">	Data flow table; System Architecture Diagram</t>
  </si>
  <si>
    <t>Drew complete System Architecture Diagram showing all components, connections, data flows and direction.</t>
  </si>
  <si>
    <t xml:space="preserve">	System Architecture Diagram (Lucidchart/Figma)</t>
  </si>
  <si>
    <t>Sequence Diagram (Stylist Flutter process)</t>
  </si>
  <si>
    <t>Drew Sequence Diagram for Staff approves appointment: Staff  ASP.NET  Supabase. Included actor, lifelines, messages, requests, responses, activation and correct order.</t>
  </si>
  <si>
    <t>Entity identification</t>
  </si>
  <si>
    <t>(profiles, stylists, stylist_schedules, bookings, services, promotions, cancellations, payment_methods, gallery_images)</t>
  </si>
  <si>
    <t>Primary and foreign keys</t>
  </si>
  <si>
    <t>Identified primary and foreign keys for all entities. Documented key relationships.</t>
  </si>
  <si>
    <t>Relationships and cardinality</t>
  </si>
  <si>
    <t>Identified relationships and cardinality between entities. Documented one-to-many and many-to-many relationships.</t>
  </si>
  <si>
    <t xml:space="preserve">	ERD with cardinality notation</t>
  </si>
  <si>
    <t>ERD creation</t>
  </si>
  <si>
    <t>Drew complete ERD using diagramming tool. Included all entities, attributes, keys, relationships and cardinality.</t>
  </si>
  <si>
    <t>ERD</t>
  </si>
  <si>
    <t xml:space="preserve">	Activity 3.3</t>
  </si>
  <si>
    <t>Integration check</t>
  </si>
  <si>
    <t>Checked mobile and web integration (Flutter - Supabase - ASP.NET). Verified data flows and shared backend usage.</t>
  </si>
  <si>
    <t>Integration check table</t>
  </si>
  <si>
    <t>Interface-to-ERD alignment</t>
  </si>
  <si>
    <t>Checked that all interface information is supported by ERD. Created alignment table.</t>
  </si>
  <si>
    <t xml:space="preserve">	Interface-to-ERD alignment table</t>
  </si>
  <si>
    <t>Activity 4.1 / 4.2</t>
  </si>
  <si>
    <t>GitHub repository https://github.com/Yamkela47/Group-B-.git; Supabase evidence; Unit 4 SRS</t>
  </si>
  <si>
    <t>Continued participation in GenAI course for Supabase and ASP.NET skill enhancement. Applied learning to architecture and ERD design.</t>
  </si>
  <si>
    <t>Participated in the stakeholder interview. Took notes on frontend requirements, UI preferences, and "Luxury" brand expectations.</t>
  </si>
  <si>
    <t>Initial SRS - Frontend and UI sections</t>
  </si>
  <si>
    <t>Contributed to SRS sections including Product Perspective, Main Flutter Functions, and User Interface requirements.</t>
  </si>
  <si>
    <t>SRS -  Product Perspective, : Main Functions</t>
  </si>
  <si>
    <t>Operational feasibility evaluation</t>
  </si>
  <si>
    <t xml:space="preserve">	Led the operational feasibility evaluation. Assessed whether the proposed solution works for the stakeholder and intended users. Evaluated suitability for target users (ages 10-30).</t>
  </si>
  <si>
    <t>Unit 2 documentation, Operational Feasibility</t>
  </si>
  <si>
    <t>Risk identification (R04, R07)</t>
  </si>
  <si>
    <t>Identified and documented technical risks: R04 (integration between Flutter, ASP.NET, and Supabase) and R07 (Google Maps API quota limitations).</t>
  </si>
  <si>
    <t>SRS update - Refined project scope</t>
  </si>
  <si>
    <t>Documented the refined project scope with decisions for each function: Keep (14 requirements), Simplify (FR-09), Postpone (FR-13).</t>
  </si>
  <si>
    <t>Defined responsibilities of Flutter and ASP.NET components. Explained integration with Supabase.</t>
  </si>
  <si>
    <t>Co-drew System Architecture Diagram. Ensured Flutter, ASP.NET and Supabase shown as one integrated system.</t>
  </si>
  <si>
    <t>Architecture explanation</t>
  </si>
  <si>
    <t xml:space="preserve">	Wrote detailed explanation of architecture: who uses Flutter, who uses ASP.NET, Supabase responsibilities, communication methods, integration.</t>
  </si>
  <si>
    <t>Process selection</t>
  </si>
  <si>
    <t>Selected important processes for sequence diagrams. Ensured one Flutter process and one ASP.NET process.</t>
  </si>
  <si>
    <t>Drew Sequence Diagram for Customer submits appointment request: Customer - Flutter  Supabase. Included actor, lifelines, messages, requests, responses, activation and correct order</t>
  </si>
  <si>
    <t>Flutter screen identification</t>
  </si>
  <si>
    <t>Reviewed approved requirements and identified required Flutter screens (Login, Register, Home, Request Appointment, My Appointments, Profile). Mapped each screen to related requirements/use cases.</t>
  </si>
  <si>
    <t>Flutter wireframe creation</t>
  </si>
  <si>
    <t>Created Flutter mobile wireframes using Figma for all main screens. Focused on layout, navigation, labels, input fields, buttons, and user actions.</t>
  </si>
  <si>
    <t>Navigation flow</t>
  </si>
  <si>
    <t>Documented navigation flow between screens. Created navigation flow diagram showing how users move through the application.</t>
  </si>
  <si>
    <t>GitHub repository https://github.com/Yamkela47/Group-B-.git; Flutter screenshots; Unit 4 SRS</t>
  </si>
  <si>
    <t xml:space="preserve">	Checked that all interface information is supported by ERD. Created alignment table.</t>
  </si>
  <si>
    <t>Yamkela Mazamani</t>
  </si>
  <si>
    <t>Participated in the stakeholder interview. Documented interview findings and organised stakeholder evidence.</t>
  </si>
  <si>
    <t xml:space="preserve"> Interview Questions and Responses,  Photos</t>
  </si>
  <si>
    <t>Microsoft Project schedule creation</t>
  </si>
  <si>
    <t>Created the initial Microsoft Project schedule with tasks, dates, durations, responsibilities, dependencies, and milestones.</t>
  </si>
  <si>
    <t>GitHub repository creation</t>
  </si>
  <si>
    <t>Created and configured the GitHub repository. Set up folder structure. Added README and initial documentation</t>
  </si>
  <si>
    <t>Progress report and contribution record</t>
  </si>
  <si>
    <t>Completed the progress report and contribution record for Unit 1. Documented all team contributions.</t>
  </si>
  <si>
    <t>Project Progress Tracker - Unit 1</t>
  </si>
  <si>
    <t>Schedule feasibility evaluation</t>
  </si>
  <si>
    <t>Evaluated schedule feasibility. Assessed whether all work can be completed within the semester. Identified time constraints and required changes.</t>
  </si>
  <si>
    <t>Unit 2 documentation - Schedule Feasibility</t>
  </si>
  <si>
    <t>Risk register formatting</t>
  </si>
  <si>
    <t>Formatted the risk register. Created the risk register table with all 10 risks, likelihood, impact, scores, mitigation, contingency, owners, and status.</t>
  </si>
  <si>
    <t>Unit 2 documentation - Risk Register</t>
  </si>
  <si>
    <t>Microsoft Project schedule update</t>
  </si>
  <si>
    <t>Updated the Microsoft Project schedule to reflect Unit 2 progress and refined scope. Added new tasks for FR-08 and FR-18 implementation.</t>
  </si>
  <si>
    <t>Updated Microsoft Project .mpp file</t>
  </si>
  <si>
    <t>GitHub repository maintenance</t>
  </si>
  <si>
    <t>Maintained the GitHub repository. Added Unit 2 documentation, feasibility study, risk register, and updated SRS.</t>
  </si>
  <si>
    <t xml:space="preserve">	https://github.com/Yamkela47/Group-B-.git</t>
  </si>
  <si>
    <t>Project Progress Tracker update</t>
  </si>
  <si>
    <t>Updated the Project Progress Tracker for Unit 2. Recorded task progress, individual contributions, challenges, and actions.</t>
  </si>
  <si>
    <t xml:space="preserve">	Actively participated in the GenAI course conducted by Ms Lonergan for Supabase and ASP.NET skill enhancement.</t>
  </si>
  <si>
    <t xml:space="preserve">	Use Case Diagram support</t>
  </si>
  <si>
    <t>Supported creation of Use Case Diagrams.</t>
  </si>
  <si>
    <t>Use Case Diagram</t>
  </si>
  <si>
    <t>ERD support</t>
  </si>
  <si>
    <t>Supported creation of ERD. Ensured proper notation for entities, attributes, keys, relationships and cardinality.</t>
  </si>
  <si>
    <t>Created Flutter mobile wireframes using Figma. Focused on layout, navigation, labels, input fields, buttons, and user actions.</t>
  </si>
  <si>
    <t>Flutter wireframes</t>
  </si>
  <si>
    <t>Microsoft Project update</t>
  </si>
  <si>
    <t xml:space="preserve">	Updated Microsoft Project schedule with Phase 2 tasks, progress and upcoming development activities.</t>
  </si>
  <si>
    <t>GitHub maintenance</t>
  </si>
  <si>
    <t>Updated GitHub repository with all Phase 2 design documentation (architecture, UML, ERD, wireframes)</t>
  </si>
  <si>
    <t xml:space="preserve">	Project Progress Tracker update</t>
  </si>
  <si>
    <t xml:space="preserve">	Updated Project Progress Tracker for Phase 2. Recorded task progress, individual contributions, challenges, and actions.</t>
  </si>
  <si>
    <t>Continued participation in GenAI course for Supabase and ASP.NET skill enhancement.</t>
  </si>
  <si>
    <t>Updated Unit 4 SRS; Project Progress Tracker; GitHub repository https://github.com/Yamkela47/Group-B-.git</t>
  </si>
  <si>
    <t>Stakeholder Engagement Record</t>
  </si>
  <si>
    <t>Date</t>
  </si>
  <si>
    <t>Type of Engagement</t>
  </si>
  <si>
    <t>Students Present</t>
  </si>
  <si>
    <t>Stakeholder Present / Role</t>
  </si>
  <si>
    <t>Main Findings</t>
  </si>
  <si>
    <t>Action Required</t>
  </si>
  <si>
    <t>Meeting</t>
  </si>
  <si>
    <t>Conduct initial stakeholder interview to identify the problem, gather requirements, understand current process, and confirm stakeholder needs and expectations.</t>
  </si>
  <si>
    <t>Cutting Edge Salon Owner / Manager</t>
  </si>
  <si>
    <t xml:space="preserve">	• Salon Name: Cutting Edge
• Established: 11 April 2022
• Main Problem: "To alleviate mismanagement of daily store running"
• Main Goals: "To showcase our products and services and to allow for a smooth booking system"
• Target Audience: 10-30 years old, everyone (Men, Women, Children)
• Core Services: Hair cutting, hair colouring, beard shaving, hot towel treatment
• Brand Vibe: "Luxury"
• Competitor: Legendary Barber
• Desired Pages: Home, About Us, Services, Pricing, Our Team, Gallery, Booking
• Operating Hours: Weekdays 9-6, Saturdays 8:30-5, Sundays 08:30-13:00
• Address: 10 Melck Street, Pioneer Building, Welkom Central
• Contact: 0787676599 / cutinged@88@gmail.com
• Stylists: All offer the same services
• WhatsApp for Bookings: NO (confirmed)
• Services: Standard haircut = 40 min, Cut &amp; Dye = 1h 15min</t>
  </si>
  <si>
    <t>Document all findings in SRS. Begin development of Initial Software Requirements Specification (SRS).</t>
  </si>
  <si>
    <t>Interview Questions and Responses (Full Transcript)
Interview Meeting Evidence (Photos)
Interview notes, meeting records</t>
  </si>
  <si>
    <t>Requirements confirmation</t>
  </si>
  <si>
    <t>Summarise main findings and confirm that the group's understanding of the stakeholder's needs and requirements is correct.</t>
  </si>
  <si>
    <t>Confirmed Findings:
• The current manual diary system is inefficient and causes mismanagement
• The stakeholder wants customers to book online
• The stakeholder wants a "Luxury" feel
• The stakeholder does NOT want WhatsApp bookings
• The stakeholder has stylists who all offer the same services
• The stakeholder wants pages: Home, About Us, Services, Pricing, Our Team, Gallery, Booking
• Promote "Cut and Dye" as the flagship service</t>
  </si>
  <si>
    <t>Proceed with SRS development based on confirmed requirements.</t>
  </si>
  <si>
    <t>Appendix C: Stakeholder Confirmation of Findings
Summary notes</t>
  </si>
  <si>
    <t>31 Aug - 2 Sep 2026</t>
  </si>
  <si>
    <t>Scope change discussion</t>
  </si>
  <si>
    <t>Present and discuss lecturer-advised scope changes and new requirements: FR-08 (Customer Cancellation) and FR-18 (Payment Method Selection - Cash/Card).</t>
  </si>
  <si>
    <t>Goitseone Kgwele, Thabang Zitha</t>
  </si>
  <si>
    <t>Pending confirmation
Proposed Changes to Discuss:
• FR-08: Customer cancellation functionality (lecturer-advised)
• FR-18: Payment method selection (cash or card) - lecturer-advised
• FR-09: Email reminders simplified to manual reminders
• FR-13: Gallery display postponed to Phase 2
• Scope refinement based on feasibility study findings
Reasons: Lecturer feedback; ensures comprehensive functionality; improves customer experience and staff efficiency</t>
  </si>
  <si>
    <t>Record stakeholder comments. Confirm acceptance of changes. Update SRS accordingly. Document meeting notes and confirmation.</t>
  </si>
  <si>
    <t>Meeting notes to be recorded
Email confirmation or WhatsApp communication</t>
  </si>
  <si>
    <t xml:space="preserve">	Final scope confirmation</t>
  </si>
  <si>
    <t>Confirm all scope changes and refined project scope with stakeholder. Obtain final approval.</t>
  </si>
  <si>
    <t>Pending confirmation
Final Scope to Confirm:
• 14 Must Have requirements including FR-08 and FR-18
• 4 Should Have requirements
• FR-13 (Gallery) postponed to Phase 2
• FR-09 (Email reminders) simplified to manual reminders
• Database schema updates: payment_method, cancelled_at, cancellation_reason
• Refined project scope and deliverables</t>
  </si>
  <si>
    <t>Obtain stakeholder confirmation. Document final decisions. Update SRS with confirmed changes.</t>
  </si>
  <si>
    <t>Confirmation summary
Signed confirmation (if available)
Email or WhatsApp communication</t>
  </si>
  <si>
    <t>Present the working prototype (Flutter &amp; ASP.NET) to the stakeholder for feedback and approval</t>
  </si>
  <si>
    <t>Thabang Zitha &amp; Nyakallo Pali</t>
  </si>
  <si>
    <t>Cutting Edge Salon Manager</t>
  </si>
  <si>
    <t>Stakeholder reviewed the complete Figma interface designs. Approved the Flutter Customer and Stylist interfaces and the ASP.NET Manager Portal. Praised the "luxury" gold/black aesthetic and clean layout. Requested that the "Cut and Dye" service be prominently displayed on the Customer Home screen. Asked that the booking confirmation clearly show the selected payment method (Cash/Card on arrival). Confirmed the cancellation flow is simple and clear. Asked that the gallery be prominent in the Manager Portal.</t>
  </si>
  <si>
    <t>Keep cancellation flow simple. Emphasise gallery in Manager Portal. Apply changes and document.</t>
  </si>
  <si>
    <t>A picture of the stakeholder viewing the prototype</t>
  </si>
  <si>
    <t>2026-10-01 - 2026-10-21</t>
  </si>
  <si>
    <t>Implementation alignment / prior feedback review</t>
  </si>
  <si>
    <t>Check implementation against the stakeholder requirements and feedback already documented in the SRS. The Unit 4 SRS does not record a new Phase 3 stakeholder meeting.</t>
  </si>
  <si>
    <t>Development group</t>
  </si>
  <si>
    <t>Cutting Edge Salon Owner / Manager (previously consulted; no new meeting recorded)</t>
  </si>
  <si>
    <t>Implementation was guided by the previously confirmed requirements: luxury black-and-gold design, online booking, cash/card preference, simple cancellation, Cut and Dye promotion and manager oversight. Do not treat this entry as a new stakeholder approval.</t>
  </si>
  <si>
    <t>If a Phase 3 review occurred, add its actual date, attendees, feedback, decisions and evidence link. Otherwise retain the earlier 20 September 2026 engagement as the latest documented stakeholder feedback.</t>
  </si>
  <si>
    <t>Unit 4 SRS; prior stakeholder feedback record dated 2026-09-20. No new Phase 3 meeting evidence included.</t>
  </si>
  <si>
    <t>Challenges and Corrective Actions</t>
  </si>
  <si>
    <t>Date Identified</t>
  </si>
  <si>
    <t>Challenge</t>
  </si>
  <si>
    <t>Effect on Progress</t>
  </si>
  <si>
    <t>Corrective Action</t>
  </si>
  <si>
    <t>Responsible Student</t>
  </si>
  <si>
    <t>Target Date</t>
  </si>
  <si>
    <t>Coordinating schedules for the in-person stakeholder interview due to conflicting availability of all group members and stakeholder.</t>
  </si>
  <si>
    <t>Delayed the stakeholder interview by 2 days. Affected the start of requirements documentation.</t>
  </si>
  <si>
    <t>Rescheduled interview to a mutually convenient date. Communicated with stakeholder via multiple channels (call, WhatsApp, email) to confirm availability. Assigned Goitseone as primary contact.</t>
  </si>
  <si>
    <t>Goitseone Kgwele</t>
  </si>
  <si>
    <t>Resolved</t>
  </si>
  <si>
    <t>Translating subjective stakeholder requirements (e.g., "Luxury" feel) into measurable non-functional requirements.</t>
  </si>
  <si>
    <t>Potential ambiguity in requirements could lead to misinterpretation during development.</t>
  </si>
  <si>
    <t>Conducted detailed follow-up questions during interview. Documented specific UI/UX expectations (e.g., elegant colour scheme, premium feel, smooth animations). Referenced brand colours and materials provided by stakeholder.</t>
  </si>
  <si>
    <t xml:space="preserve">	Supabase integration confidence - the group has practical experience but recognises the need for enhanced skills.</t>
  </si>
  <si>
    <t>Could delay backend integration and database operations during development phase.</t>
  </si>
  <si>
    <t>Four members enrolled in the GenAI course conducted by Ms Lonergan for Supabase and ASP.NET skill enhancement. Shared learning across the entire group. Created plan to test basic integration early.</t>
  </si>
  <si>
    <t>Managing the expanded scope of 19 functional requirements (17 original + 2 new additions).</t>
  </si>
  <si>
    <t>Risk of scope creep; could prevent prototype completion within the semester.</t>
  </si>
  <si>
    <t>Conducted MoSCoW prioritisation analysis. Identified 14 Must Have requirements (including FR-08 and FR-18) and 4 Should Have requirements. Postponed FR-13 (Gallery) to Phase 2. Simplified FR-09 (Email reminders) to manual reminders.</t>
  </si>
  <si>
    <t>Incorporating lecturer feedback (FR-08: Customer Cancellation, FR-18: Payment Method Selection) requiring updates to SRS, database schema, and process flows.</t>
  </si>
  <si>
    <t>Required significant updates to existing documentation. Potential schedule impact.</t>
  </si>
  <si>
    <t>Added FR-08 and FR-18 as Must Have requirements. Updated SRS Updated database schema with paymentmethod, cancelledat, and cancellation reason fields. Created requirements change log.</t>
  </si>
  <si>
    <t>Thabang Zitha, Nyakallo Pali</t>
  </si>
  <si>
    <t xml:space="preserve">	One group member (Yamkela Mazamani) not enrolled in the GenAI course for Supabase enhancement.</t>
  </si>
  <si>
    <t>Knowledge gap may affect Supabase integration contributions from that member.</t>
  </si>
  <si>
    <t>Group agreed to share all GenAI learnings with non-enrolled member. Scheduled knowledge transfer sessions during weekly meetings. All group members committed to supporting each other.</t>
  </si>
  <si>
    <t>All Members</t>
  </si>
  <si>
    <t xml:space="preserve">	Risk of unequal participation and poor communication affecting project progress and quality.</t>
  </si>
  <si>
    <t>Could cause delays, incomplete tasks, and reduced quality of deliverables.</t>
  </si>
  <si>
    <t>Established weekly group progress meetings (every Monday). Record tasks and contributions in Project Progress Tracker. Maintain daily WhatsApp group for communication. Assigned clear tasks with deadlines. Escalation process established if concerns arise.</t>
  </si>
  <si>
    <t>Limited time available for testing and corrections in the development schedule.</t>
  </si>
  <si>
    <t>Could affect prototype quality and stakeholder acceptance.</t>
  </si>
  <si>
    <t>Allocated dedicated testing time in Microsoft Project schedule (1.5 weeks). Developed test cases early. Prioritised critical functionality testing. Simplified features where necessary to reduce testing burden.</t>
  </si>
  <si>
    <t>Stakeholder confirmation of scope changes still pending.</t>
  </si>
  <si>
    <t>Cannot finalise SRS until stakeholder approves new features and scope changes.</t>
  </si>
  <si>
    <t>Scheduled meeting with stakeholder for 31 Aug - 2 Sep 2026. Prepared presentation of changes and reasons (lecturer feedback, feasibility findings). Will document stakeholder response and update SRS accordingly.</t>
  </si>
  <si>
    <t>Balancing stakeholder expectations with realistic deliverables based on feasibility findings.</t>
  </si>
  <si>
    <t>Risk of stakeholder dissatisfaction if features are postponed or removed.</t>
  </si>
  <si>
    <t>Prepared clear rationale for all scope changes based on feasibility study findings. Will present benefits of core functionality first. Emphasised that postponed features (FR-13) can be added later.</t>
  </si>
  <si>
    <t xml:space="preserve">Unit 3 / Phase 2	</t>
  </si>
  <si>
    <t>Ensuring alignment across all design artefacts (SRS, Architecture, Use Case, Sequence, ERD, Interfaces) for 19 functional requirements.</t>
  </si>
  <si>
    <t>Risk of inconsistencies between diagrams and requirements. Potential confusion during development.</t>
  </si>
  <si>
    <t>Created design alignment check tables. Cross-referenced each requirement across all artefacts. Held group review sessions to verify alignment.</t>
  </si>
  <si>
    <t>Designing the database schema to support payment method tracking and cancellation workflow required careful planning.</t>
  </si>
  <si>
    <t>Potential for incomplete data model. Risk of rework during development.</t>
  </si>
  <si>
    <t>Updated ERD with payment_methods entity and cancellations table. Verified against sequence diagrams and interface requirements.</t>
  </si>
  <si>
    <t>Creating wireframes that reflect the "luxury" aesthetic while remaining functional for required iterative design.</t>
  </si>
  <si>
    <t>Potential mismatch between stakeholder expectations and usability.</t>
  </si>
  <si>
    <t>Conducted design reviews. Referenced stakeholder brand colours (gold/black) and materials. Iterated on wireframes based on group feedback. Ensured clean, elegant layout.</t>
  </si>
  <si>
    <t xml:space="preserve">Coordinating group availability for design reviews and stakeholder feedback sessions.	</t>
  </si>
  <si>
    <t>Slight delays in finalising designs</t>
  </si>
  <si>
    <t>Scheduled reviews in advance. Used WhatsApp for asynchronous feedback. Assigned clear deadlines for each design artefact.</t>
  </si>
  <si>
    <t>Managing the scope of 19 functional requirements across four design artefacts required disciplined traceability.</t>
  </si>
  <si>
    <t>Risk of missing requirements in design. Potential gaps in coverage.</t>
  </si>
  <si>
    <t>Created requirement-to-interface and interface-to-ERD alignment tables. Verified each requirement appears in Use Case, Sequence, ERD and Interface designs.</t>
  </si>
  <si>
    <t>Stakeholder requested minor refinements to the working prototype during the presentation.</t>
  </si>
  <si>
    <t>Required updates to prototype after demo.</t>
  </si>
  <si>
    <t>Documented changes.</t>
  </si>
  <si>
    <t>2026-10-20</t>
  </si>
  <si>
    <t>Formal manual and regression testing of the complete prototype is not yet completed; SRS schedules it for Unit 5.</t>
  </si>
  <si>
    <t>Could leave defects undiscovered if initial function checks are mistaken for formal test completion.</t>
  </si>
  <si>
    <t>Run formal test cases for booking, conflict prevention, cancellation, payment preference, role access, CRUD and cross-application flows; record pass/fail evidence and retest fixes.</t>
  </si>
  <si>
    <t>Unit 5 testing period</t>
  </si>
  <si>
    <t>Automated appointment reminders were simplified to manual reminders via the manager dashboard.</t>
  </si>
  <si>
    <t>Customers may not receive automatic 24-hour reminders, which may reduce the intended reduction in no-shows.</t>
  </si>
  <si>
    <t>Clearly document the limitation and demonstrate the manual reminder process; only mark automated reminders complete if implemented and evidenced.</t>
  </si>
  <si>
    <t>Nyakallo Pali, Thabang Zitha</t>
  </si>
  <si>
    <t>Before final submission</t>
  </si>
  <si>
    <t>2026-10-</t>
  </si>
  <si>
    <t>Connecting Flutter and ASP.NET Core to the same Supabase project while keeping database fields, booking statuses, dates and access permissions consistent.</t>
  </si>
  <si>
    <t>Inconsistent fields, dates or status values could prevent bookings from displaying correctly in both applications. Incorrect queries or permissions could also delay integration.</t>
  </si>
  <si>
    <t>Use the same Supabase project and database schema, standardise field names and booking statuses, verify access permissions, and test that records created in one application can be retrieved in the other.</t>
  </si>
  <si>
    <t>Phase Progress Summary</t>
  </si>
  <si>
    <t>Summary Information</t>
  </si>
  <si>
    <t>Phase Completion Checklist</t>
  </si>
  <si>
    <t>Initial or updated SRS completed</t>
  </si>
  <si>
    <t xml:space="preserve">2026-10-01 to 2026-10-25 </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</si>
  <si>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</si>
  <si>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</si>
  <si>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</si>
  <si>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</si>
  <si>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</si>
  <si>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</si>
  <si>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</si>
  <si>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</si>
  <si>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</si>
  <si>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</si>
  <si>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</si>
  <si>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</si>
  <si>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</si>
  <si>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</si>
  <si>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</si>
  <si>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</si>
  <si>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</si>
  <si>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</si>
  <si>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</si>
  <si>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</si>
  <si>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</si>
  <si>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</si>
  <si>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</si>
  <si>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Our main learning was that a prototype is only useful when the mobile app, web portal and shared database work together. Implementing Flutter, ASP.NET Core and Supabase required the group to pay attention to matching field names, booking status values, date formats, record identifiers and user permissions. We also learned that initial function checks are not the same as formal manual and regression testing.</t>
  </si>
  <si>
    <t>Honesty</t>
  </si>
  <si>
    <t>Identifying a genuine challenge will not disadvantage the group when an improvement action is provided.</t>
  </si>
  <si>
    <t>What went well and why?</t>
  </si>
  <si>
    <t>Our group configured the shared Supabase backend, developed the Flutter Customer/Stylist app and ASP.NET Manager Portal, and connected both applications to the same database. Our group checked important shared workflows, including booking request and manager approval, cancellation, stylist availability and service/price updates. Initial integration issues were recorded, corrected and checked again.</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</si>
  <si>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</si>
  <si>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</si>
  <si>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</si>
  <si>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</si>
  <si>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</si>
  <si>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</si>
  <si>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</si>
  <si>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</si>
  <si>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</si>
  <si>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We learned that the stakeholder values the "luxury" feel and wants it prominent in the mobile interface. The stakeholder confirmed that payment method selection is important for staff preparation. The stakeholder requested that the "Cut and Dye" service be prominently displayed on the Home screen. The stakeholder also asked that the cancellation flow be simple and clear for customers. During the prototype presentation on 20 September 2026, we learned that the stakeholder engages much more meaningfully when they can interact with a working system — they gave specific, actionable feedback on the prototype, including making "Cut and Dye" more prominent, improving the gallery update flow, and confirming the cancellation flow restores availability. We learned that the stakeholder appreciates being involved in design decisions and values tangible demonstrations.</t>
  </si>
  <si>
    <t>Improvement action 1 for the next phase</t>
  </si>
  <si>
    <t>Improvement action 2 for the next phase</t>
  </si>
  <si>
    <t>Priority for the next phase</t>
  </si>
  <si>
    <t>Cutting Edge Salon</t>
  </si>
  <si>
    <t>2026-10-01 to 2026-10-25</t>
  </si>
  <si>
    <t>Goitseone Kgwele, Thabang Zitha, Yamkela Mazamani (manager portal); backend shared by team</t>
  </si>
  <si>
    <t>Bennet Linda, Nyakallo Pali</t>
  </si>
  <si>
    <t>Goitseone Kgwele, Thabang Zitha, Yamkela Mazamani</t>
  </si>
  <si>
    <t>All members (Flutter: Bennet &amp; Nyakallo; ASP.NET: Goitseone, Thabang &amp; Yamkela)</t>
  </si>
  <si>
    <t>Perform and document initial function checks against the Unit 4 SRS (not a formal testing cycle)</t>
  </si>
  <si>
    <t>Unit 4 SRS, pp. 6–13: initial function/integration checks</t>
  </si>
  <si>
    <t>Check authentication, permissions, forms and shared data at prototype demonstration level</t>
  </si>
  <si>
    <t>Correct documented integration issues; complete formal regression review before final submission</t>
  </si>
  <si>
    <t>Unit 4 SRS p.11–12: integration corrections; formal regression not evidenced</t>
  </si>
  <si>
    <t>Goitseone Kgwele, Thabang Zitha, Yamkela Mazamani (documentation); Bennet &amp; Nyakallo (mobile screenshots)</t>
  </si>
  <si>
    <t>All members; Yamkela and Goitseone coordinate project records</t>
  </si>
  <si>
    <t>ASP.NET Manager Portal; coordination</t>
  </si>
  <si>
    <t>Worked within the ASP.NET manager portal team (with Thabang and Yamkela), contributed to project coordination and final SRS/tracker review. Exact personal commits and hours require confirmation.</t>
  </si>
  <si>
    <t>ASP.NET Manager Portal development</t>
  </si>
  <si>
    <t>Worked with Goitseone and Yamkela on the ASP.NET Manager Portal, including manager-side booking, service and stylist workflows as described in the Unit 4 SRS. Verify individual code contributions.</t>
  </si>
  <si>
    <t>Flutter Customer/Stylist app and shared Supabase integration</t>
  </si>
  <si>
    <t>Worked with Bennet on Flutter Customer/Stylist screens and shared Supabase integration, including booking and availability flows. Individual commits should be reconciled.</t>
  </si>
  <si>
    <t>Flutter Customer/Stylist application</t>
  </si>
  <si>
    <t>Worked with Nyakallo on Flutter customer/stylist views, booking, cancellation, payment preference and stylist schedule screens documented in Unit 4. Verify personally completed portions.</t>
  </si>
  <si>
    <t>ASP.NET Manager Portal and documentation</t>
  </si>
  <si>
    <t>Worked with Goitseone and Thabang on the ASP.NET manager portal; supported documentation and project records. Confirm exact individual activities and evidence.</t>
  </si>
  <si>
    <t>2026-10-24</t>
  </si>
  <si>
    <t>Some members required repeated reminders to complete assigned work.</t>
  </si>
  <si>
    <t>Increased coordination work and risked delaying integration and documentation.</t>
  </si>
  <si>
    <t>Held check-ins, reminded owners about tasks and used tracker entries to make work and pending deliverables visible.</t>
  </si>
  <si>
    <t>All members; coordination by Goitseone Kgwele</t>
  </si>
  <si>
    <t>Prototype implementation documented; final submission preparation ongoing</t>
  </si>
  <si>
    <t>The Unit 4 SRS documents the shared Supabase backend (schema, relationships, authentication and RLS), Flutter Customer/Stylist screens and booking flows, and the ASP.NET Manager Portal. Initial function checks were recorded as Pass. The SRS illustrates shared booking submission/retrieval and booking status updates via Supabase, with screenshots. The team also recorded corrections for query filters, refresh behaviour, inconsistent status values and payment-method joins.</t>
  </si>
  <si>
    <t>Final submission readiness remains open: confirm GitHub folder/version evidence, complete any outstanding regression and demonstration checks, rehearse the live presentation, and ensure project schedule/tracker screenshots are legible. Email reminders are manual; cross-app updates may require refresh; no online payment processing.</t>
  </si>
  <si>
    <t>The SRS provides initial checks and screenshots, not an independently verified final test cycle. The GitHub and tracker screenshot placeholders are still present. Final live demonstration and any required submission steps have not yet occurred.</t>
  </si>
  <si>
    <t>Flutter application: Bennet Linda and Nyakallo Pali. ASP.NET Manager Portal: Goitseone Kgwele, Thabang Zitha and Yamkela Mazamani. The shared Supabase backend and integration required cooperation across the team. Exact individual effort and commit attribution should be checked against evidence.</t>
  </si>
  <si>
    <t>Yes, coordination challenges occurred: some members needed repeated reminders to complete assigned work. Regular check-ins and use of the tracker helped address delays and maintain accountability.</t>
  </si>
  <si>
    <t>Verify the two shared processes, complete final checks, obtain missing screenshots, reconcile task completion against actual evidence, and rehearse the presentation. Address remaining limitations where feasible.</t>
  </si>
  <si>
    <t>Finish final assessment readiness checks, prepare a live demonstration of Flutter, ASP.NET and shared Supabase records, and submit an accurate evidence-backed SRS and project records.</t>
  </si>
  <si>
    <t>The group faced two substantial challenges: maintaining consistent fields, dates, status names and permissions across Flutter, ASP.NET and Supabase; and ensuring assigned tasks were completed without repeated reminders. Cross-application records sometimes required query adjustments or manual refresh. The group also had to maintain traceability across the design artefacts.</t>
  </si>
  <si>
    <t>Bennet Linda and Nyakallo Pali worked primarily on the Flutter Customer/Stylist application. Goitseone Kgwele, Thabang Zitha and Yamkela Mazamani worked on the ASP.NET Manager Portal. Integration with the shared Supabase database required cooperation between both groups; responsibilities were discussed at check-ins.</t>
  </si>
  <si>
    <t>All five members had assigned responsibilities, but participation was not always equally prompt. Some members needed repeated reminders to complete their allocated work. The group addressed this through check-ins, clearer ownership, and the Project Progress Tracker. Precise individual contributions should be confirmed against submitted files and GitHub evidence.</t>
  </si>
  <si>
    <t>The group used discussions and regular reminders to resolve delays and encourage members to finish their responsibilities. Technical integration issues were handled by standardising booking status values, correcting query filters, and checking updated records again in the relevant application.</t>
  </si>
  <si>
    <t>Recheck booking, cancellation, one-active-booking protection, status approval, access controls and service updates with representative dummy data; identify outstanding issues clearly.</t>
  </si>
  <si>
    <t>Review responsibilities and completion evidence at each group meeting, resolve unfinished work early, and verify the GitHub repository, tracker and demonstration materials before submission.</t>
  </si>
  <si>
    <t>Prepare a clear final demonstration showing at least two Flutter–Supabase–ASP.NET shared processes, honestly explain the manual reminder and refresh-based update limitations, and ensure every member can defend their 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</si>
</sst>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quot;%&quot;"/>
    <numFmt numFmtId="167" formatCode="0.0"/>
    <numFmt numFmtId="168" formatCode="yyyy\-mm\-dd;@"/>
  </numFmts>
  <fonts count="8">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sz val="11"/>
      <color rgb="FF0F1115"/>
      <name val="Segoe UI"/>
    </font>
    <font>
      <sz val="11"/>
      <color theme="10"/>
      <name val="Carlito"/>
    </font>
  </fonts>
  <fills count="8">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
      <patternFill patternType="solid">
        <fgColor rgb="FFFFFFFF"/>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7" fillId="0" borderId="0" applyNumberFormat="0" applyFill="0" applyBorder="0" applyAlignment="0" applyProtection="0"/>
  </cellStyleXfs>
  <cellXfs count="51">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8" xfId="0" applyBorder="1" applyAlignment="1">
      <alignment vertical="top" wrapText="1"/>
    </xf>
    <xf numFmtId="165" fontId="0" fillId="0" borderId="8" xfId="0" applyNumberFormat="1" applyBorder="1" applyAlignment="1">
      <alignment vertical="top" wrapText="1"/>
    </xf>
    <xf numFmtId="166" fontId="0" fillId="0" borderId="8" xfId="0" applyNumberFormat="1" applyBorder="1" applyAlignment="1">
      <alignment vertical="top" wrapText="1"/>
    </xf>
    <xf numFmtId="0" fontId="0" fillId="0" borderId="6" xfId="0" applyBorder="1" applyAlignment="1">
      <alignment vertical="top" wrapText="1"/>
    </xf>
    <xf numFmtId="167" fontId="0" fillId="0" borderId="0" xfId="0" applyNumberFormat="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3" fillId="2" borderId="8" xfId="0" applyFont="1" applyFill="1" applyBorder="1" applyAlignment="1">
      <alignment horizontal="center" vertical="center" wrapText="1"/>
    </xf>
    <xf numFmtId="0" fontId="6" fillId="0" borderId="0" xfId="0" applyFont="1"/>
    <xf numFmtId="0" fontId="7" fillId="0" borderId="0" xfId="1"/>
    <xf numFmtId="14" fontId="6" fillId="0" borderId="0" xfId="0" applyNumberFormat="1" applyFont="1"/>
    <xf numFmtId="0" fontId="6" fillId="7" borderId="0" xfId="0" applyFont="1" applyFill="1" applyAlignment="1">
      <alignment horizontal="left" vertical="center" wrapText="1"/>
    </xf>
    <xf numFmtId="0" fontId="7" fillId="0" borderId="0" xfId="1" applyAlignment="1">
      <alignment vertical="top" wrapText="1"/>
    </xf>
    <xf numFmtId="0" fontId="6" fillId="0" borderId="0" xfId="0" applyFont="1" applyAlignment="1">
      <alignment wrapText="1"/>
    </xf>
    <xf numFmtId="0" fontId="7" fillId="7" borderId="0" xfId="1" applyFill="1" applyAlignment="1">
      <alignment horizontal="left" vertical="center" wrapText="1"/>
    </xf>
    <xf numFmtId="0" fontId="6" fillId="0" borderId="0" xfId="0" applyFont="1" applyAlignment="1">
      <alignment vertical="top" wrapText="1"/>
    </xf>
    <xf numFmtId="0" fontId="0" fillId="0" borderId="8" xfId="0" applyBorder="1"/>
    <xf numFmtId="164" fontId="0" fillId="6" borderId="4" xfId="0" applyNumberFormat="1" applyFill="1" applyBorder="1" applyAlignment="1">
      <alignment vertical="top" wrapText="1"/>
    </xf>
    <xf numFmtId="14" fontId="0" fillId="0" borderId="8" xfId="0" applyNumberFormat="1" applyBorder="1" applyAlignment="1">
      <alignment vertical="top" wrapText="1"/>
    </xf>
    <xf numFmtId="168" fontId="0" fillId="0" borderId="8" xfId="0" applyNumberFormat="1" applyBorder="1" applyAlignment="1">
      <alignment vertical="top" wrapText="1"/>
    </xf>
    <xf numFmtId="0" fontId="6" fillId="0" borderId="8" xfId="0" applyFont="1" applyBorder="1"/>
    <xf numFmtId="0" fontId="7" fillId="0" borderId="8" xfId="1" applyBorder="1"/>
    <xf numFmtId="167" fontId="0" fillId="0" borderId="8" xfId="0" applyNumberFormat="1" applyBorder="1" applyAlignment="1">
      <alignment vertical="top" wrapText="1"/>
    </xf>
    <xf numFmtId="14" fontId="6" fillId="0" borderId="8" xfId="0" applyNumberFormat="1" applyFont="1" applyBorder="1"/>
    <xf numFmtId="0" fontId="5" fillId="6" borderId="8" xfId="0" applyFont="1" applyFill="1" applyBorder="1" applyAlignment="1">
      <alignment vertical="top" wrapText="1"/>
    </xf>
    <xf numFmtId="0" fontId="1" fillId="2" borderId="0" xfId="0" applyFont="1" applyFill="1" applyAlignment="1">
      <alignment horizontal="left" vertical="center"/>
    </xf>
    <xf numFmtId="0" fontId="2" fillId="3" borderId="0" xfId="0" applyFont="1" applyFill="1" applyAlignment="1">
      <alignment vertical="top" wrapText="1"/>
    </xf>
    <xf numFmtId="0" fontId="3" fillId="5" borderId="1" xfId="0" applyFont="1" applyFill="1" applyBorder="1" applyAlignment="1">
      <alignment horizontal="left" vertical="center"/>
    </xf>
    <xf numFmtId="0" fontId="3" fillId="5" borderId="2" xfId="0" applyFont="1" applyFill="1" applyBorder="1" applyAlignment="1">
      <alignment horizontal="left" vertical="center"/>
    </xf>
    <xf numFmtId="0" fontId="3" fillId="5" borderId="0" xfId="0" applyFont="1" applyFill="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cellXfs>
  <cellStyles count="2">
    <cellStyle name="Hyperlink" xfId="1" xr:uid="{00000000-0005-0000-0000-000000000000}"/>
    <cellStyle name="Normal" xfId="0" builtinId="0"/>
  </cellStyles>
  <dxfs count="16">
    <dxf>
      <fill>
        <patternFill>
          <bgColor rgb="FFFEE2E2"/>
        </patternFill>
      </fill>
    </dxf>
    <dxf>
      <fill>
        <patternFill>
          <bgColor rgb="FFDCFCE7"/>
        </patternFill>
      </fill>
    </dxf>
    <dxf>
      <fill>
        <patternFill>
          <bgColor rgb="FFFEE2E2"/>
        </patternFill>
      </fill>
    </dxf>
    <dxf>
      <fill>
        <patternFill>
          <bgColor rgb="FFDCEAF7"/>
        </patternFill>
      </fill>
    </dxf>
    <dxf>
      <fill>
        <patternFill>
          <bgColor rgb="FFDCFCE7"/>
        </patternFill>
      </fill>
    </dxf>
    <dxf>
      <fill>
        <patternFill>
          <bgColor rgb="FFFEE2E2"/>
        </patternFill>
      </fill>
    </dxf>
    <dxf>
      <fill>
        <patternFill>
          <bgColor rgb="FFDCFCE7"/>
        </patternFill>
      </fill>
    </dxf>
    <dxf>
      <fill>
        <patternFill>
          <bgColor rgb="FFFEE2E2"/>
        </patternFill>
      </fill>
    </dxf>
    <dxf>
      <fill>
        <patternFill>
          <bgColor rgb="FFDCFCE7"/>
        </patternFill>
      </fill>
    </dxf>
    <dxf>
      <fill>
        <patternFill>
          <bgColor rgb="FFFEE2E2"/>
        </patternFill>
      </fill>
    </dxf>
    <dxf>
      <fill>
        <patternFill>
          <bgColor rgb="FFDCFCE7"/>
        </patternFill>
      </fill>
    </dxf>
    <dxf>
      <font>
        <b/>
      </font>
      <fill>
        <patternFill>
          <bgColor rgb="FFFEE2E2"/>
        </patternFill>
      </fill>
    </dxf>
    <dxf>
      <fill>
        <patternFill>
          <bgColor rgb="FFDCFCE7"/>
        </patternFill>
      </fill>
    </dxf>
    <dxf>
      <fill>
        <patternFill>
          <bgColor rgb="FFDCEAF7"/>
        </patternFill>
      </fill>
    </dxf>
    <dxf>
      <fill>
        <patternFill>
          <bgColor rgb="FFFEF3C7"/>
        </patternFill>
      </fill>
    </dxf>
    <dxf>
      <fill>
        <patternFill>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US"/>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86</c:v>
                </c:pt>
                <c:pt idx="1">
                  <c:v>0</c:v>
                </c:pt>
                <c:pt idx="2">
                  <c:v>0</c:v>
                </c:pt>
                <c:pt idx="3">
                  <c:v>0</c:v>
                </c:pt>
                <c:pt idx="4">
                  <c:v>0</c:v>
                </c:pt>
                <c:pt idx="5">
                  <c:v>0</c:v>
                </c:pt>
              </c:numCache>
            </c:numRef>
          </c:val>
          <c:extLst>
            <c:ext xmlns:c16="http://schemas.microsoft.com/office/drawing/2014/chart" uri="{C3380CC4-5D6E-409C-BE32-E72D297353CC}">
              <c16:uniqueId val="{00000000-F3D7-4514-A87D-611A5203A8D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N90">
  <tableColumns count="14">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s)"/>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 id="14" xr3:uid="{00000000-0010-0000-0000-00000E000000}"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IndividualContributionsTable6" displayName="IndividualContributionsTable6" ref="A2:L237">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97">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91">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asp.net/" TargetMode="External"/><Relationship Id="rId13" Type="http://schemas.openxmlformats.org/officeDocument/2006/relationships/hyperlink" Target="https://github.com/Yamkela47/Group-B-.git" TargetMode="External"/><Relationship Id="rId18" Type="http://schemas.openxmlformats.org/officeDocument/2006/relationships/hyperlink" Target="https://github.com/Yamkela47/Group-B-.git" TargetMode="External"/><Relationship Id="rId3" Type="http://schemas.openxmlformats.org/officeDocument/2006/relationships/hyperlink" Target="https://asp.net/" TargetMode="External"/><Relationship Id="rId7" Type="http://schemas.openxmlformats.org/officeDocument/2006/relationships/hyperlink" Target="https://asp.net/" TargetMode="External"/><Relationship Id="rId12" Type="http://schemas.openxmlformats.org/officeDocument/2006/relationships/hyperlink" Target="https://github.com/Yamkela47/Group-B-.git" TargetMode="External"/><Relationship Id="rId17" Type="http://schemas.openxmlformats.org/officeDocument/2006/relationships/hyperlink" Target="https://github.com/Yamkela47/Group-B-.git" TargetMode="External"/><Relationship Id="rId2" Type="http://schemas.openxmlformats.org/officeDocument/2006/relationships/hyperlink" Target="https://github.com/Yamkela47/Group-B-.git" TargetMode="External"/><Relationship Id="rId16" Type="http://schemas.openxmlformats.org/officeDocument/2006/relationships/hyperlink" Target="https://github.com/Yamkela47/Group-B-.git" TargetMode="External"/><Relationship Id="rId20" Type="http://schemas.openxmlformats.org/officeDocument/2006/relationships/table" Target="../tables/table1.xml"/><Relationship Id="rId1" Type="http://schemas.openxmlformats.org/officeDocument/2006/relationships/hyperlink" Target="https://github.com/Yamkela47/Group-B-.git" TargetMode="External"/><Relationship Id="rId6" Type="http://schemas.openxmlformats.org/officeDocument/2006/relationships/hyperlink" Target="https://asp.net/" TargetMode="External"/><Relationship Id="rId11" Type="http://schemas.openxmlformats.org/officeDocument/2006/relationships/hyperlink" Target="https://github.com/Yamkela47/Group-B-.git" TargetMode="External"/><Relationship Id="rId5" Type="http://schemas.openxmlformats.org/officeDocument/2006/relationships/hyperlink" Target="https://asp.net/" TargetMode="External"/><Relationship Id="rId15" Type="http://schemas.openxmlformats.org/officeDocument/2006/relationships/hyperlink" Target="https://github.com/Yamkela47/Group-B-.git" TargetMode="External"/><Relationship Id="rId10" Type="http://schemas.openxmlformats.org/officeDocument/2006/relationships/hyperlink" Target="https://github.com/Yamkela47/Group-B-.git" TargetMode="External"/><Relationship Id="rId19" Type="http://schemas.openxmlformats.org/officeDocument/2006/relationships/hyperlink" Target="https://github.com/Yamkela47/Group-B-.git" TargetMode="External"/><Relationship Id="rId4" Type="http://schemas.openxmlformats.org/officeDocument/2006/relationships/hyperlink" Target="https://asp.net/" TargetMode="External"/><Relationship Id="rId9" Type="http://schemas.openxmlformats.org/officeDocument/2006/relationships/hyperlink" Target="https://github.com/Yamkela47/Group-B-.git" TargetMode="External"/><Relationship Id="rId14" Type="http://schemas.openxmlformats.org/officeDocument/2006/relationships/hyperlink" Target="https://github.com/Yamkela47/Group-B-.gi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sp.net/" TargetMode="External"/><Relationship Id="rId7" Type="http://schemas.openxmlformats.org/officeDocument/2006/relationships/table" Target="../tables/table2.xml"/><Relationship Id="rId2" Type="http://schemas.openxmlformats.org/officeDocument/2006/relationships/hyperlink" Target="https://asp.net/" TargetMode="External"/><Relationship Id="rId1" Type="http://schemas.openxmlformats.org/officeDocument/2006/relationships/hyperlink" Target="https://asp.net/" TargetMode="External"/><Relationship Id="rId6" Type="http://schemas.openxmlformats.org/officeDocument/2006/relationships/hyperlink" Target="https://asp.net/" TargetMode="External"/><Relationship Id="rId5" Type="http://schemas.openxmlformats.org/officeDocument/2006/relationships/hyperlink" Target="https://github.com/Yamkela47/Group-B-.git" TargetMode="External"/><Relationship Id="rId4" Type="http://schemas.openxmlformats.org/officeDocument/2006/relationships/hyperlink" Target="https://github.com/Yamkela47/Group-B-.git"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workbookViewId="0">
      <selection sqref="A1:H1"/>
    </sheetView>
  </sheetViews>
  <sheetFormatPr defaultRowHeight="13.8"/>
  <cols>
    <col min="1" max="1" width="24" customWidth="1"/>
    <col min="2" max="2" width="48" customWidth="1"/>
    <col min="3" max="3" width="3" customWidth="1"/>
    <col min="4" max="4" width="10" customWidth="1"/>
    <col min="5" max="5" width="54" customWidth="1"/>
    <col min="6" max="8" width="12" customWidth="1"/>
  </cols>
  <sheetData>
    <row r="1" spans="1:8" ht="16.05" customHeight="1">
      <c r="A1" s="43" t="s">
        <v>0</v>
      </c>
      <c r="B1" s="43"/>
      <c r="C1" s="43"/>
      <c r="D1" s="43"/>
      <c r="E1" s="43"/>
      <c r="F1" s="43"/>
      <c r="G1" s="43"/>
      <c r="H1" s="43"/>
    </row>
    <row r="3" spans="1:8" ht="22.35" customHeight="1">
      <c r="A3" s="44" t="s">
        <v>1</v>
      </c>
      <c r="B3" s="44"/>
      <c r="C3" s="44"/>
      <c r="D3" s="44"/>
      <c r="E3" s="44"/>
      <c r="F3" s="44"/>
      <c r="G3" s="44"/>
      <c r="H3" s="44"/>
    </row>
    <row r="5" spans="1:8">
      <c r="A5" s="1" t="s">
        <v>2</v>
      </c>
      <c r="B5" s="2" t="s">
        <v>3</v>
      </c>
      <c r="D5" s="45" t="s">
        <v>4</v>
      </c>
      <c r="E5" s="46"/>
      <c r="F5" s="47"/>
      <c r="G5" s="47"/>
      <c r="H5" s="47"/>
    </row>
    <row r="6" spans="1:8" ht="36.450000000000003" customHeight="1">
      <c r="A6" s="3" t="s">
        <v>5</v>
      </c>
      <c r="B6" s="4" t="s">
        <v>6</v>
      </c>
      <c r="D6" s="3" t="s">
        <v>7</v>
      </c>
      <c r="E6" s="4" t="s">
        <v>8</v>
      </c>
    </row>
    <row r="7" spans="1:8" ht="33.15" customHeight="1">
      <c r="A7" s="3" t="s">
        <v>9</v>
      </c>
      <c r="B7" s="4" t="s">
        <v>10</v>
      </c>
      <c r="D7" s="3" t="s">
        <v>11</v>
      </c>
      <c r="E7" s="4" t="s">
        <v>12</v>
      </c>
    </row>
    <row r="8" spans="1:8" ht="28.35" customHeight="1">
      <c r="A8" s="3" t="s">
        <v>13</v>
      </c>
      <c r="B8" s="4" t="s">
        <v>14</v>
      </c>
      <c r="D8" s="3" t="s">
        <v>15</v>
      </c>
      <c r="E8" s="4" t="s">
        <v>16</v>
      </c>
    </row>
    <row r="9" spans="1:8" ht="28.05" customHeight="1">
      <c r="A9" s="3" t="s">
        <v>17</v>
      </c>
      <c r="B9" s="4" t="s">
        <v>18</v>
      </c>
      <c r="D9" s="3" t="s">
        <v>19</v>
      </c>
      <c r="E9" s="4" t="s">
        <v>20</v>
      </c>
    </row>
    <row r="10" spans="1:8" ht="35.549999999999997" customHeight="1">
      <c r="A10" s="3" t="s">
        <v>21</v>
      </c>
      <c r="B10" s="4" t="s">
        <v>22</v>
      </c>
      <c r="D10" s="3" t="s">
        <v>23</v>
      </c>
      <c r="E10" s="4" t="s">
        <v>24</v>
      </c>
    </row>
    <row r="11" spans="1:8" ht="30.75" customHeight="1">
      <c r="A11" s="3" t="s">
        <v>25</v>
      </c>
      <c r="B11" s="4" t="s">
        <v>26</v>
      </c>
      <c r="D11" s="5" t="s">
        <v>27</v>
      </c>
      <c r="E11" s="6" t="s">
        <v>28</v>
      </c>
    </row>
    <row r="12" spans="1:8" ht="27.6">
      <c r="A12" s="5" t="s">
        <v>29</v>
      </c>
      <c r="B12" s="6" t="s">
        <v>30</v>
      </c>
    </row>
    <row r="13" spans="1:8">
      <c r="D13" s="45" t="s">
        <v>31</v>
      </c>
      <c r="E13" s="46"/>
      <c r="F13" s="47"/>
      <c r="G13" s="47"/>
      <c r="H13" s="47"/>
    </row>
    <row r="14" spans="1:8" ht="27.6">
      <c r="D14" s="3" t="s">
        <v>32</v>
      </c>
      <c r="E14" s="4" t="s">
        <v>33</v>
      </c>
    </row>
    <row r="15" spans="1:8">
      <c r="D15" s="3" t="s">
        <v>34</v>
      </c>
      <c r="E15" s="4" t="s">
        <v>35</v>
      </c>
    </row>
    <row r="16" spans="1:8">
      <c r="D16" s="3" t="s">
        <v>36</v>
      </c>
      <c r="E16" s="4" t="s">
        <v>37</v>
      </c>
    </row>
    <row r="17" spans="4: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workbookViewId="0">
      <selection activeCell="B11" sqref="B11"/>
    </sheetView>
  </sheetViews>
  <sheetFormatPr defaultRowHeight="13.8"/>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16.05" customHeight="1">
      <c r="A1" s="43" t="s">
        <v>40</v>
      </c>
      <c r="B1" s="43"/>
      <c r="C1" s="43"/>
      <c r="D1" s="43"/>
      <c r="E1" s="43"/>
      <c r="F1" s="43"/>
      <c r="G1" s="43"/>
      <c r="H1" s="43"/>
      <c r="I1" s="43"/>
      <c r="J1" s="43"/>
      <c r="K1" s="43"/>
      <c r="L1" s="43"/>
    </row>
    <row r="3" spans="1:12">
      <c r="A3" s="1" t="s">
        <v>41</v>
      </c>
      <c r="B3" s="2" t="s">
        <v>42</v>
      </c>
      <c r="F3" s="1" t="s">
        <v>43</v>
      </c>
      <c r="G3" s="2" t="s">
        <v>44</v>
      </c>
    </row>
    <row r="4" spans="1:12" ht="14.85" customHeight="1">
      <c r="A4" s="3" t="s">
        <v>45</v>
      </c>
      <c r="B4" s="7" t="s">
        <v>46</v>
      </c>
      <c r="F4" s="3" t="s">
        <v>47</v>
      </c>
      <c r="G4" s="9">
        <f>COUNTIF('Task Progress'!H2:H90,"Completed")</f>
        <v>86</v>
      </c>
    </row>
    <row r="5" spans="1:12" ht="14.85" customHeight="1">
      <c r="A5" s="3" t="s">
        <v>48</v>
      </c>
      <c r="B5" s="7" t="s">
        <v>49</v>
      </c>
      <c r="F5" s="3" t="s">
        <v>50</v>
      </c>
      <c r="G5" s="9">
        <f>COUNTIF('Task Progress'!H2:H90,"In Progress")</f>
        <v>0</v>
      </c>
    </row>
    <row r="6" spans="1:12" ht="14.85" customHeight="1">
      <c r="A6" s="3" t="s">
        <v>51</v>
      </c>
      <c r="B6" s="7" t="s">
        <v>715</v>
      </c>
      <c r="F6" s="3" t="s">
        <v>52</v>
      </c>
      <c r="G6" s="9">
        <f>COUNTIF('Task Progress'!H2:H90,"Not Started")</f>
        <v>0</v>
      </c>
    </row>
    <row r="7" spans="1:12" ht="14.85" customHeight="1">
      <c r="A7" s="3" t="s">
        <v>53</v>
      </c>
      <c r="B7" s="7" t="s">
        <v>54</v>
      </c>
      <c r="F7" s="3" t="s">
        <v>55</v>
      </c>
      <c r="G7" s="9">
        <f>COUNTIF('Task Progress'!H2:H90,"Delayed")</f>
        <v>0</v>
      </c>
    </row>
    <row r="8" spans="1:12" ht="14.85" customHeight="1">
      <c r="A8" s="3" t="s">
        <v>56</v>
      </c>
      <c r="B8" s="7" t="s">
        <v>57</v>
      </c>
      <c r="F8" s="3" t="s">
        <v>58</v>
      </c>
      <c r="G8" s="9">
        <f>COUNTIF('Task Progress'!H2:H90,"Blocked")</f>
        <v>0</v>
      </c>
    </row>
    <row r="9" spans="1:12" ht="14.85" customHeight="1">
      <c r="A9" s="3" t="s">
        <v>59</v>
      </c>
      <c r="B9" s="28" t="s">
        <v>716</v>
      </c>
      <c r="F9" s="5" t="s">
        <v>60</v>
      </c>
      <c r="G9" s="10">
        <f ca="1">COUNTIF('Task Progress'!M2:M90,"Overdue")</f>
        <v>0</v>
      </c>
    </row>
    <row r="10" spans="1:12" ht="14.85" customHeight="1">
      <c r="A10" s="3" t="s">
        <v>61</v>
      </c>
      <c r="B10" s="7" t="s">
        <v>47</v>
      </c>
    </row>
    <row r="11" spans="1:12" ht="14.85" customHeight="1">
      <c r="A11" s="3" t="s">
        <v>62</v>
      </c>
      <c r="B11" s="35">
        <f>IFERROR(SUM('Task Progress'!I2:I90)/COUNTIF('Task Progress'!D2:D90,"&lt;&gt;")/100,0)</f>
        <v>0.9634831460674157</v>
      </c>
      <c r="F11" s="1" t="s">
        <v>63</v>
      </c>
      <c r="G11" s="2" t="s">
        <v>44</v>
      </c>
    </row>
    <row r="12" spans="1:12" ht="25.65" customHeight="1">
      <c r="A12" s="3" t="s">
        <v>64</v>
      </c>
      <c r="B12" s="7" t="s">
        <v>65</v>
      </c>
      <c r="F12" s="3" t="s">
        <v>66</v>
      </c>
      <c r="G12" s="9">
        <f>COUNTIF('Individual Contributions'!E3:E237,"?*")</f>
        <v>85</v>
      </c>
    </row>
    <row r="13" spans="1:12" ht="25.65" customHeight="1">
      <c r="A13" s="3" t="s">
        <v>67</v>
      </c>
      <c r="B13" s="7" t="s">
        <v>68</v>
      </c>
      <c r="F13" s="3" t="s">
        <v>69</v>
      </c>
      <c r="G13" s="9">
        <f>COUNTIFS('Individual Contributions'!E3:E237,"?*",'Individual Contributions'!J3:J237,"Yes")</f>
        <v>85</v>
      </c>
    </row>
    <row r="14" spans="1:12" ht="25.65" customHeight="1">
      <c r="A14" s="5" t="s">
        <v>70</v>
      </c>
      <c r="B14" s="8" t="s">
        <v>71</v>
      </c>
      <c r="F14" s="3" t="s">
        <v>72</v>
      </c>
      <c r="G14" s="9">
        <f>COUNTIFS('Individual Contributions'!E3:E237,"?*",'Individual Contributions'!J3:J237,"No")</f>
        <v>0</v>
      </c>
    </row>
    <row r="15" spans="1:12">
      <c r="F15" s="5" t="s">
        <v>73</v>
      </c>
      <c r="G15" s="10">
        <f>COUNT('Stakeholder Engagement'!A3:A97)</f>
        <v>4</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0"/>
  <sheetViews>
    <sheetView topLeftCell="A83" zoomScale="62" zoomScaleNormal="62" workbookViewId="0">
      <selection activeCell="J97" sqref="J97"/>
    </sheetView>
  </sheetViews>
  <sheetFormatPr defaultRowHeight="13.8"/>
  <cols>
    <col min="1" max="1" width="12" customWidth="1"/>
    <col min="2" max="2" width="19" customWidth="1"/>
    <col min="3" max="3" width="15" customWidth="1"/>
    <col min="4" max="4" width="38" customWidth="1"/>
    <col min="5" max="5" width="24" customWidth="1"/>
    <col min="6" max="6" width="14.09765625" customWidth="1"/>
    <col min="7" max="7" width="15.5" customWidth="1"/>
    <col min="8" max="8" width="15" customWidth="1"/>
    <col min="9" max="9" width="12" customWidth="1"/>
    <col min="10" max="10" width="34" customWidth="1"/>
    <col min="11" max="11" width="16" customWidth="1"/>
    <col min="12" max="12" width="32" customWidth="1"/>
    <col min="13" max="13" width="14" customWidth="1"/>
  </cols>
  <sheetData>
    <row r="1" spans="1:14" ht="16.05" customHeight="1">
      <c r="A1" s="43" t="s">
        <v>74</v>
      </c>
      <c r="B1" s="43"/>
      <c r="C1" s="43"/>
      <c r="D1" s="43"/>
      <c r="E1" s="43"/>
      <c r="F1" s="43"/>
      <c r="G1" s="43"/>
      <c r="H1" s="43"/>
      <c r="I1" s="43"/>
      <c r="J1" s="43"/>
      <c r="K1" s="43"/>
      <c r="L1" s="43"/>
      <c r="M1" s="43"/>
    </row>
    <row r="2" spans="1:14" ht="27.6">
      <c r="A2" s="1" t="s">
        <v>75</v>
      </c>
      <c r="B2" s="14" t="s">
        <v>76</v>
      </c>
      <c r="C2" s="14" t="s">
        <v>77</v>
      </c>
      <c r="D2" s="14" t="s">
        <v>78</v>
      </c>
      <c r="E2" s="14" t="s">
        <v>79</v>
      </c>
      <c r="F2" s="14" t="s">
        <v>80</v>
      </c>
      <c r="G2" s="14" t="s">
        <v>81</v>
      </c>
      <c r="H2" s="14" t="s">
        <v>82</v>
      </c>
      <c r="I2" s="14" t="s">
        <v>83</v>
      </c>
      <c r="J2" s="14" t="s">
        <v>84</v>
      </c>
      <c r="K2" s="14" t="s">
        <v>85</v>
      </c>
      <c r="L2" s="14" t="s">
        <v>86</v>
      </c>
      <c r="M2" s="2" t="s">
        <v>87</v>
      </c>
      <c r="N2" t="s">
        <v>88</v>
      </c>
    </row>
    <row r="3" spans="1:14">
      <c r="A3" s="15" t="s">
        <v>89</v>
      </c>
      <c r="B3" s="11" t="s">
        <v>32</v>
      </c>
      <c r="C3" s="11" t="s">
        <v>90</v>
      </c>
      <c r="D3" s="11" t="s">
        <v>91</v>
      </c>
      <c r="E3" s="11" t="s">
        <v>54</v>
      </c>
      <c r="F3" s="12">
        <v>46249</v>
      </c>
      <c r="G3" s="12">
        <v>46252</v>
      </c>
      <c r="H3" s="11" t="s">
        <v>47</v>
      </c>
      <c r="I3" s="13">
        <v>100</v>
      </c>
      <c r="J3" s="11" t="s">
        <v>92</v>
      </c>
      <c r="K3" s="11" t="s">
        <v>93</v>
      </c>
      <c r="L3" s="11"/>
      <c r="M3" s="16" t="str">
        <f t="shared" ref="M3:M34" ca="1" si="0">IF(D3="","",IF(H3="Completed","Completed",IF(H3="Blocked","Blocked",IF(H3="Delayed","Delayed",IF(AND(G3&lt;&gt;"",G3&lt;TODAY(),H3&lt;&gt;"Completed"),"Overdue","On Track")))))</f>
        <v>Completed</v>
      </c>
    </row>
    <row r="4" spans="1:14" ht="27.6">
      <c r="A4" s="15" t="s">
        <v>94</v>
      </c>
      <c r="B4" s="11" t="s">
        <v>32</v>
      </c>
      <c r="C4" s="11" t="s">
        <v>90</v>
      </c>
      <c r="D4" s="11" t="s">
        <v>95</v>
      </c>
      <c r="E4" s="11" t="s">
        <v>96</v>
      </c>
      <c r="F4" s="12">
        <v>46252</v>
      </c>
      <c r="G4" s="12">
        <v>46254</v>
      </c>
      <c r="H4" s="11" t="s">
        <v>47</v>
      </c>
      <c r="I4" s="13">
        <v>100</v>
      </c>
      <c r="J4" s="11" t="s">
        <v>97</v>
      </c>
      <c r="K4" s="11" t="s">
        <v>93</v>
      </c>
      <c r="L4" s="11"/>
      <c r="M4" s="16" t="str">
        <f t="shared" ca="1" si="0"/>
        <v>Completed</v>
      </c>
    </row>
    <row r="5" spans="1:14">
      <c r="A5" s="15" t="s">
        <v>98</v>
      </c>
      <c r="B5" s="11" t="s">
        <v>32</v>
      </c>
      <c r="C5" s="11" t="s">
        <v>90</v>
      </c>
      <c r="D5" s="11" t="s">
        <v>99</v>
      </c>
      <c r="E5" s="11" t="s">
        <v>96</v>
      </c>
      <c r="F5" s="12">
        <v>46252</v>
      </c>
      <c r="G5" s="12">
        <v>46254</v>
      </c>
      <c r="H5" s="11" t="s">
        <v>47</v>
      </c>
      <c r="I5" s="13">
        <v>100</v>
      </c>
      <c r="J5" s="11"/>
      <c r="K5" s="11" t="s">
        <v>93</v>
      </c>
      <c r="L5" s="11"/>
      <c r="M5" s="16" t="str">
        <f t="shared" ca="1" si="0"/>
        <v>Completed</v>
      </c>
    </row>
    <row r="6" spans="1:14" ht="27.6">
      <c r="A6" s="15" t="s">
        <v>100</v>
      </c>
      <c r="B6" s="11" t="s">
        <v>32</v>
      </c>
      <c r="C6" s="11" t="s">
        <v>101</v>
      </c>
      <c r="D6" s="11" t="s">
        <v>102</v>
      </c>
      <c r="E6" s="11" t="s">
        <v>103</v>
      </c>
      <c r="F6" s="12">
        <v>46249</v>
      </c>
      <c r="G6" s="12">
        <v>46251</v>
      </c>
      <c r="H6" s="11" t="s">
        <v>47</v>
      </c>
      <c r="I6" s="13">
        <v>100</v>
      </c>
      <c r="J6" s="11" t="s">
        <v>104</v>
      </c>
      <c r="K6" s="11" t="s">
        <v>93</v>
      </c>
      <c r="L6" s="11"/>
      <c r="M6" s="16" t="str">
        <f t="shared" ca="1" si="0"/>
        <v>Completed</v>
      </c>
    </row>
    <row r="7" spans="1:14" ht="27.6">
      <c r="A7" s="15" t="s">
        <v>105</v>
      </c>
      <c r="B7" s="11" t="s">
        <v>32</v>
      </c>
      <c r="C7" s="11" t="s">
        <v>101</v>
      </c>
      <c r="D7" s="11" t="s">
        <v>106</v>
      </c>
      <c r="E7" s="11" t="s">
        <v>107</v>
      </c>
      <c r="F7" s="12">
        <v>46252</v>
      </c>
      <c r="G7" s="12">
        <v>46262</v>
      </c>
      <c r="H7" s="11" t="s">
        <v>47</v>
      </c>
      <c r="I7" s="13">
        <v>100</v>
      </c>
      <c r="J7" s="11" t="s">
        <v>108</v>
      </c>
      <c r="K7" s="11" t="s">
        <v>93</v>
      </c>
      <c r="L7" s="11"/>
      <c r="M7" s="16" t="str">
        <f t="shared" ca="1" si="0"/>
        <v>Completed</v>
      </c>
    </row>
    <row r="8" spans="1:14">
      <c r="A8" s="15" t="s">
        <v>109</v>
      </c>
      <c r="B8" s="11" t="s">
        <v>32</v>
      </c>
      <c r="C8" s="11" t="s">
        <v>110</v>
      </c>
      <c r="D8" s="11" t="s">
        <v>111</v>
      </c>
      <c r="E8" s="11" t="s">
        <v>107</v>
      </c>
      <c r="F8" s="12">
        <v>46254</v>
      </c>
      <c r="G8" s="12">
        <v>46262</v>
      </c>
      <c r="H8" s="11" t="s">
        <v>47</v>
      </c>
      <c r="I8" s="13">
        <v>100</v>
      </c>
      <c r="J8" s="11" t="s">
        <v>112</v>
      </c>
      <c r="K8" s="11" t="s">
        <v>93</v>
      </c>
      <c r="L8" s="11"/>
      <c r="M8" s="16" t="str">
        <f t="shared" ca="1" si="0"/>
        <v>Completed</v>
      </c>
    </row>
    <row r="9" spans="1:14">
      <c r="A9" s="15" t="s">
        <v>113</v>
      </c>
      <c r="B9" s="11" t="s">
        <v>32</v>
      </c>
      <c r="C9" s="11" t="s">
        <v>110</v>
      </c>
      <c r="D9" s="11" t="s">
        <v>114</v>
      </c>
      <c r="E9" s="11" t="s">
        <v>115</v>
      </c>
      <c r="F9" s="12">
        <v>46254</v>
      </c>
      <c r="G9" s="12">
        <v>46263</v>
      </c>
      <c r="H9" s="11" t="s">
        <v>47</v>
      </c>
      <c r="I9" s="13">
        <v>100</v>
      </c>
      <c r="J9" s="11" t="s">
        <v>116</v>
      </c>
      <c r="K9" s="11" t="s">
        <v>93</v>
      </c>
      <c r="L9" s="11"/>
      <c r="M9" s="16" t="str">
        <f t="shared" ca="1" si="0"/>
        <v>Completed</v>
      </c>
    </row>
    <row r="10" spans="1:14">
      <c r="A10" s="15" t="s">
        <v>117</v>
      </c>
      <c r="B10" s="11" t="s">
        <v>32</v>
      </c>
      <c r="C10" s="11" t="s">
        <v>110</v>
      </c>
      <c r="D10" s="11" t="s">
        <v>118</v>
      </c>
      <c r="E10" s="11" t="s">
        <v>115</v>
      </c>
      <c r="F10" s="12">
        <v>46254</v>
      </c>
      <c r="G10" s="12">
        <v>46263</v>
      </c>
      <c r="H10" s="11" t="s">
        <v>47</v>
      </c>
      <c r="I10" s="13">
        <v>100</v>
      </c>
      <c r="J10" s="27" t="s">
        <v>119</v>
      </c>
      <c r="K10" s="11" t="s">
        <v>93</v>
      </c>
      <c r="L10" s="11"/>
      <c r="M10" s="16" t="str">
        <f t="shared" ca="1" si="0"/>
        <v>Completed</v>
      </c>
    </row>
    <row r="11" spans="1:14" ht="16.8">
      <c r="A11" s="15" t="s">
        <v>120</v>
      </c>
      <c r="B11" s="11" t="s">
        <v>32</v>
      </c>
      <c r="C11" s="11" t="s">
        <v>110</v>
      </c>
      <c r="D11" s="11" t="s">
        <v>121</v>
      </c>
      <c r="E11" s="11" t="s">
        <v>122</v>
      </c>
      <c r="F11" s="12">
        <v>46254</v>
      </c>
      <c r="G11" s="12">
        <v>46263</v>
      </c>
      <c r="H11" s="11" t="s">
        <v>47</v>
      </c>
      <c r="I11" s="13">
        <v>100</v>
      </c>
      <c r="J11" s="26" t="s">
        <v>123</v>
      </c>
      <c r="K11" s="11" t="s">
        <v>93</v>
      </c>
      <c r="L11" s="11"/>
      <c r="M11" s="16" t="str">
        <f t="shared" ca="1" si="0"/>
        <v>Completed</v>
      </c>
    </row>
    <row r="12" spans="1:14" ht="27.6">
      <c r="A12" s="15" t="s">
        <v>124</v>
      </c>
      <c r="B12" s="11" t="s">
        <v>32</v>
      </c>
      <c r="C12" s="11" t="s">
        <v>110</v>
      </c>
      <c r="D12" s="11" t="s">
        <v>125</v>
      </c>
      <c r="E12" s="11" t="s">
        <v>115</v>
      </c>
      <c r="F12" s="12">
        <v>46258</v>
      </c>
      <c r="G12" s="12">
        <v>46263</v>
      </c>
      <c r="H12" s="11" t="s">
        <v>47</v>
      </c>
      <c r="I12" s="13">
        <v>100</v>
      </c>
      <c r="J12" s="11" t="s">
        <v>126</v>
      </c>
      <c r="K12" s="11" t="s">
        <v>93</v>
      </c>
      <c r="L12" s="11"/>
      <c r="M12" s="16" t="str">
        <f t="shared" ca="1" si="0"/>
        <v>Completed</v>
      </c>
    </row>
    <row r="13" spans="1:14">
      <c r="A13" s="15" t="s">
        <v>127</v>
      </c>
      <c r="B13" s="11" t="s">
        <v>32</v>
      </c>
      <c r="C13" s="11" t="s">
        <v>110</v>
      </c>
      <c r="D13" s="11" t="s">
        <v>128</v>
      </c>
      <c r="E13" s="11" t="s">
        <v>107</v>
      </c>
      <c r="F13" s="12">
        <v>46258</v>
      </c>
      <c r="G13" s="12">
        <v>46263</v>
      </c>
      <c r="H13" s="11" t="s">
        <v>47</v>
      </c>
      <c r="I13" s="13">
        <v>100</v>
      </c>
      <c r="J13" s="11" t="s">
        <v>129</v>
      </c>
      <c r="K13" s="11" t="s">
        <v>93</v>
      </c>
      <c r="L13" s="11"/>
      <c r="M13" s="16" t="str">
        <f t="shared" ca="1" si="0"/>
        <v>Completed</v>
      </c>
    </row>
    <row r="14" spans="1:14" ht="16.8">
      <c r="A14" s="15" t="s">
        <v>130</v>
      </c>
      <c r="B14" s="11" t="s">
        <v>131</v>
      </c>
      <c r="C14" s="11" t="s">
        <v>132</v>
      </c>
      <c r="D14" s="26" t="s">
        <v>133</v>
      </c>
      <c r="E14" s="11" t="s">
        <v>122</v>
      </c>
      <c r="F14" s="12">
        <v>46259</v>
      </c>
      <c r="G14" s="12">
        <v>46263</v>
      </c>
      <c r="H14" s="11" t="s">
        <v>47</v>
      </c>
      <c r="I14" s="13">
        <v>100</v>
      </c>
      <c r="J14" s="11" t="s">
        <v>134</v>
      </c>
      <c r="K14" s="11" t="s">
        <v>93</v>
      </c>
      <c r="L14" s="11"/>
      <c r="M14" s="16" t="str">
        <f t="shared" ca="1" si="0"/>
        <v>Completed</v>
      </c>
    </row>
    <row r="15" spans="1:14" ht="16.8">
      <c r="A15" s="15" t="s">
        <v>135</v>
      </c>
      <c r="B15" s="11" t="s">
        <v>131</v>
      </c>
      <c r="C15" s="11" t="s">
        <v>132</v>
      </c>
      <c r="D15" s="26" t="s">
        <v>136</v>
      </c>
      <c r="E15" s="11" t="s">
        <v>137</v>
      </c>
      <c r="F15" s="12">
        <v>46259</v>
      </c>
      <c r="G15" s="12">
        <v>46264</v>
      </c>
      <c r="H15" s="11" t="s">
        <v>47</v>
      </c>
      <c r="I15" s="13">
        <v>100</v>
      </c>
      <c r="J15" s="11" t="s">
        <v>134</v>
      </c>
      <c r="K15" s="11" t="s">
        <v>93</v>
      </c>
      <c r="L15" s="11"/>
      <c r="M15" s="16" t="str">
        <f t="shared" ca="1" si="0"/>
        <v>Completed</v>
      </c>
    </row>
    <row r="16" spans="1:14" ht="16.8">
      <c r="A16" s="15" t="s">
        <v>138</v>
      </c>
      <c r="B16" s="11" t="s">
        <v>131</v>
      </c>
      <c r="C16" s="11" t="s">
        <v>132</v>
      </c>
      <c r="D16" s="26" t="s">
        <v>139</v>
      </c>
      <c r="E16" s="11" t="s">
        <v>107</v>
      </c>
      <c r="F16" s="12">
        <v>46259</v>
      </c>
      <c r="G16" s="12">
        <v>46264</v>
      </c>
      <c r="H16" s="11" t="s">
        <v>47</v>
      </c>
      <c r="I16" s="13">
        <v>100</v>
      </c>
      <c r="J16" s="11" t="s">
        <v>134</v>
      </c>
      <c r="K16" s="11" t="s">
        <v>93</v>
      </c>
      <c r="L16" s="11"/>
      <c r="M16" s="16" t="str">
        <f t="shared" ca="1" si="0"/>
        <v>Completed</v>
      </c>
    </row>
    <row r="17" spans="1:13" ht="16.8">
      <c r="A17" s="15" t="s">
        <v>140</v>
      </c>
      <c r="B17" s="11" t="s">
        <v>131</v>
      </c>
      <c r="C17" s="11" t="s">
        <v>132</v>
      </c>
      <c r="D17" s="26" t="s">
        <v>141</v>
      </c>
      <c r="E17" s="11" t="s">
        <v>115</v>
      </c>
      <c r="F17" s="12">
        <v>46259</v>
      </c>
      <c r="G17" s="12">
        <v>46265</v>
      </c>
      <c r="H17" s="11" t="s">
        <v>47</v>
      </c>
      <c r="I17" s="13">
        <v>100</v>
      </c>
      <c r="J17" s="11" t="s">
        <v>134</v>
      </c>
      <c r="K17" s="11" t="s">
        <v>93</v>
      </c>
      <c r="L17" s="11"/>
      <c r="M17" s="16" t="str">
        <f t="shared" ca="1" si="0"/>
        <v>Completed</v>
      </c>
    </row>
    <row r="18" spans="1:13" ht="16.8">
      <c r="A18" s="15" t="s">
        <v>142</v>
      </c>
      <c r="B18" s="11" t="s">
        <v>131</v>
      </c>
      <c r="C18" s="11" t="s">
        <v>132</v>
      </c>
      <c r="D18" s="26" t="s">
        <v>143</v>
      </c>
      <c r="E18" s="11" t="s">
        <v>96</v>
      </c>
      <c r="F18" s="12">
        <v>46259</v>
      </c>
      <c r="G18" s="12">
        <v>46265</v>
      </c>
      <c r="H18" s="11" t="s">
        <v>47</v>
      </c>
      <c r="I18" s="13">
        <v>100</v>
      </c>
      <c r="J18" s="11" t="s">
        <v>134</v>
      </c>
      <c r="K18" s="11" t="s">
        <v>93</v>
      </c>
      <c r="L18" s="11"/>
      <c r="M18" s="16" t="str">
        <f t="shared" ca="1" si="0"/>
        <v>Completed</v>
      </c>
    </row>
    <row r="19" spans="1:13" ht="16.8">
      <c r="A19" s="15" t="s">
        <v>144</v>
      </c>
      <c r="B19" s="11" t="s">
        <v>131</v>
      </c>
      <c r="C19" s="11" t="s">
        <v>132</v>
      </c>
      <c r="D19" s="26" t="s">
        <v>145</v>
      </c>
      <c r="E19" s="11" t="s">
        <v>146</v>
      </c>
      <c r="F19" s="12">
        <v>46259</v>
      </c>
      <c r="G19" s="12">
        <v>46265</v>
      </c>
      <c r="H19" s="11" t="s">
        <v>47</v>
      </c>
      <c r="I19" s="13">
        <v>100</v>
      </c>
      <c r="J19" s="11" t="s">
        <v>134</v>
      </c>
      <c r="K19" s="11" t="s">
        <v>93</v>
      </c>
      <c r="L19" s="11"/>
      <c r="M19" s="16" t="str">
        <f t="shared" ca="1" si="0"/>
        <v>Completed</v>
      </c>
    </row>
    <row r="20" spans="1:13">
      <c r="A20" s="15" t="s">
        <v>147</v>
      </c>
      <c r="B20" s="11" t="s">
        <v>131</v>
      </c>
      <c r="C20" s="11" t="s">
        <v>148</v>
      </c>
      <c r="D20" s="11" t="s">
        <v>149</v>
      </c>
      <c r="E20" s="11" t="s">
        <v>107</v>
      </c>
      <c r="F20" s="12">
        <v>46262</v>
      </c>
      <c r="G20" s="12">
        <v>46265</v>
      </c>
      <c r="H20" s="11" t="s">
        <v>47</v>
      </c>
      <c r="I20" s="13">
        <v>100</v>
      </c>
      <c r="J20" s="11" t="s">
        <v>134</v>
      </c>
      <c r="K20" s="11" t="s">
        <v>93</v>
      </c>
      <c r="L20" s="11"/>
      <c r="M20" s="16" t="str">
        <f t="shared" ca="1" si="0"/>
        <v>Completed</v>
      </c>
    </row>
    <row r="21" spans="1:13" ht="16.8">
      <c r="A21" s="15" t="s">
        <v>150</v>
      </c>
      <c r="B21" s="11" t="s">
        <v>131</v>
      </c>
      <c r="C21" s="11" t="s">
        <v>148</v>
      </c>
      <c r="D21" s="26" t="s">
        <v>151</v>
      </c>
      <c r="E21" s="11" t="s">
        <v>107</v>
      </c>
      <c r="F21" s="12">
        <v>46260</v>
      </c>
      <c r="G21" s="12">
        <v>46265</v>
      </c>
      <c r="H21" s="11" t="s">
        <v>47</v>
      </c>
      <c r="I21" s="13">
        <v>100</v>
      </c>
      <c r="J21" s="11" t="s">
        <v>134</v>
      </c>
      <c r="K21" s="11" t="s">
        <v>93</v>
      </c>
      <c r="L21" s="11"/>
      <c r="M21" s="16" t="str">
        <f t="shared" ca="1" si="0"/>
        <v>Completed</v>
      </c>
    </row>
    <row r="22" spans="1:13" ht="27.6">
      <c r="A22" s="15" t="s">
        <v>152</v>
      </c>
      <c r="B22" s="11" t="s">
        <v>131</v>
      </c>
      <c r="C22" s="11" t="s">
        <v>148</v>
      </c>
      <c r="D22" s="11" t="s">
        <v>153</v>
      </c>
      <c r="E22" s="11" t="s">
        <v>107</v>
      </c>
      <c r="F22" s="12">
        <v>46260</v>
      </c>
      <c r="G22" s="12">
        <v>46265</v>
      </c>
      <c r="H22" s="11" t="s">
        <v>47</v>
      </c>
      <c r="I22" s="13">
        <v>100</v>
      </c>
      <c r="J22" s="11" t="s">
        <v>154</v>
      </c>
      <c r="K22" s="11" t="s">
        <v>93</v>
      </c>
      <c r="L22" s="11"/>
      <c r="M22" s="16" t="str">
        <f t="shared" ca="1" si="0"/>
        <v>Completed</v>
      </c>
    </row>
    <row r="23" spans="1:13" ht="27.6">
      <c r="A23" s="15" t="s">
        <v>155</v>
      </c>
      <c r="B23" s="11" t="s">
        <v>131</v>
      </c>
      <c r="C23" s="11" t="s">
        <v>148</v>
      </c>
      <c r="D23" s="11" t="s">
        <v>156</v>
      </c>
      <c r="E23" s="11" t="s">
        <v>107</v>
      </c>
      <c r="F23" s="12">
        <v>46260</v>
      </c>
      <c r="G23" s="12">
        <v>46265</v>
      </c>
      <c r="H23" s="11" t="s">
        <v>47</v>
      </c>
      <c r="I23" s="13">
        <v>100</v>
      </c>
      <c r="J23" s="11" t="s">
        <v>157</v>
      </c>
      <c r="K23" s="11" t="s">
        <v>93</v>
      </c>
      <c r="L23" s="11"/>
      <c r="M23" s="16" t="str">
        <f ca="1">IF(D23="","",IF(H23="Completed","Completed",IF(H23="Blocked","Blocked",IF(H23="Delayed","Delayed",IF(AND(G23&lt;&gt;"",G23&lt;TODAY(),H23&lt;&gt;"Completed"),"Overdue","On Track")))))</f>
        <v>Completed</v>
      </c>
    </row>
    <row r="24" spans="1:13">
      <c r="A24" s="15" t="s">
        <v>158</v>
      </c>
      <c r="B24" s="11" t="s">
        <v>131</v>
      </c>
      <c r="C24" s="11" t="s">
        <v>148</v>
      </c>
      <c r="D24" s="11" t="s">
        <v>159</v>
      </c>
      <c r="E24" s="11" t="s">
        <v>160</v>
      </c>
      <c r="F24" s="12">
        <v>46262</v>
      </c>
      <c r="G24" s="12">
        <v>46265</v>
      </c>
      <c r="H24" s="11" t="s">
        <v>47</v>
      </c>
      <c r="I24" s="13">
        <v>100</v>
      </c>
      <c r="J24" s="11" t="s">
        <v>161</v>
      </c>
      <c r="K24" s="11" t="s">
        <v>93</v>
      </c>
      <c r="L24" s="11"/>
      <c r="M24" s="16" t="str">
        <f ca="1">IF(D24="","",IF(H24="Completed","Completed",IF(H24="Blocked","Blocked",IF(H24="Delayed","Delayed",IF(AND(G24&lt;&gt;"",G24&lt;TODAY(),H24&lt;&gt;"Completed"),"Overdue","On Track")))))</f>
        <v>Completed</v>
      </c>
    </row>
    <row r="25" spans="1:13" ht="27.6">
      <c r="A25" s="15" t="s">
        <v>162</v>
      </c>
      <c r="B25" s="11" t="s">
        <v>131</v>
      </c>
      <c r="C25" s="11" t="s">
        <v>148</v>
      </c>
      <c r="D25" s="11" t="s">
        <v>163</v>
      </c>
      <c r="E25" s="11" t="s">
        <v>107</v>
      </c>
      <c r="F25" s="12">
        <v>46263</v>
      </c>
      <c r="G25" s="12">
        <v>46265</v>
      </c>
      <c r="H25" s="11" t="s">
        <v>47</v>
      </c>
      <c r="I25" s="13">
        <v>100</v>
      </c>
      <c r="J25" s="11" t="s">
        <v>164</v>
      </c>
      <c r="K25" s="11" t="s">
        <v>93</v>
      </c>
      <c r="L25" s="11"/>
      <c r="M25" s="16" t="str">
        <f t="shared" ca="1" si="0"/>
        <v>Completed</v>
      </c>
    </row>
    <row r="26" spans="1:13">
      <c r="A26" s="15" t="s">
        <v>165</v>
      </c>
      <c r="B26" s="11" t="s">
        <v>131</v>
      </c>
      <c r="C26" s="11" t="s">
        <v>166</v>
      </c>
      <c r="D26" s="11" t="s">
        <v>167</v>
      </c>
      <c r="E26" s="11" t="s">
        <v>107</v>
      </c>
      <c r="F26" s="12">
        <v>46263</v>
      </c>
      <c r="G26" s="12">
        <v>46265</v>
      </c>
      <c r="H26" s="11" t="s">
        <v>47</v>
      </c>
      <c r="I26" s="13">
        <v>100</v>
      </c>
      <c r="J26" s="11" t="s">
        <v>134</v>
      </c>
      <c r="K26" s="11" t="s">
        <v>93</v>
      </c>
      <c r="L26" s="11"/>
      <c r="M26" s="16" t="str">
        <f t="shared" ca="1" si="0"/>
        <v>Completed</v>
      </c>
    </row>
    <row r="27" spans="1:13">
      <c r="A27" s="15" t="s">
        <v>168</v>
      </c>
      <c r="B27" s="11" t="s">
        <v>131</v>
      </c>
      <c r="C27" s="11" t="s">
        <v>166</v>
      </c>
      <c r="D27" s="11" t="s">
        <v>169</v>
      </c>
      <c r="E27" s="11" t="s">
        <v>96</v>
      </c>
      <c r="F27" s="12">
        <v>46263</v>
      </c>
      <c r="G27" s="12">
        <v>46265</v>
      </c>
      <c r="H27" s="11" t="s">
        <v>47</v>
      </c>
      <c r="I27" s="13">
        <v>100</v>
      </c>
      <c r="J27" s="11" t="s">
        <v>134</v>
      </c>
      <c r="K27" s="11" t="s">
        <v>93</v>
      </c>
      <c r="L27" s="11"/>
      <c r="M27" s="16" t="str">
        <f t="shared" ca="1" si="0"/>
        <v>Completed</v>
      </c>
    </row>
    <row r="28" spans="1:13">
      <c r="A28" s="15" t="s">
        <v>170</v>
      </c>
      <c r="B28" s="11" t="s">
        <v>131</v>
      </c>
      <c r="C28" s="11" t="s">
        <v>166</v>
      </c>
      <c r="D28" s="11" t="s">
        <v>171</v>
      </c>
      <c r="E28" s="11" t="s">
        <v>96</v>
      </c>
      <c r="F28" s="12">
        <v>46263</v>
      </c>
      <c r="G28" s="12">
        <v>46265</v>
      </c>
      <c r="H28" s="11" t="s">
        <v>47</v>
      </c>
      <c r="I28" s="13">
        <v>100</v>
      </c>
      <c r="J28" s="11" t="s">
        <v>172</v>
      </c>
      <c r="K28" s="11" t="s">
        <v>93</v>
      </c>
      <c r="L28" s="11"/>
      <c r="M28" s="16" t="str">
        <f t="shared" ca="1" si="0"/>
        <v>Completed</v>
      </c>
    </row>
    <row r="29" spans="1:13">
      <c r="A29" s="15" t="s">
        <v>173</v>
      </c>
      <c r="B29" s="11" t="s">
        <v>131</v>
      </c>
      <c r="C29" s="11" t="s">
        <v>166</v>
      </c>
      <c r="D29" s="11" t="s">
        <v>174</v>
      </c>
      <c r="E29" s="11" t="s">
        <v>96</v>
      </c>
      <c r="F29" s="12">
        <v>46263</v>
      </c>
      <c r="G29" s="12">
        <v>46265</v>
      </c>
      <c r="H29" s="11" t="s">
        <v>47</v>
      </c>
      <c r="I29" s="13">
        <v>100</v>
      </c>
      <c r="J29" s="11" t="s">
        <v>134</v>
      </c>
      <c r="K29" s="11" t="s">
        <v>93</v>
      </c>
      <c r="L29" s="11"/>
      <c r="M29" s="16" t="str">
        <f t="shared" ca="1" si="0"/>
        <v>Completed</v>
      </c>
    </row>
    <row r="30" spans="1:13" ht="41.4">
      <c r="A30" s="15" t="s">
        <v>175</v>
      </c>
      <c r="B30" s="11" t="s">
        <v>131</v>
      </c>
      <c r="C30" s="11" t="s">
        <v>166</v>
      </c>
      <c r="D30" s="11" t="s">
        <v>176</v>
      </c>
      <c r="E30" s="11" t="s">
        <v>122</v>
      </c>
      <c r="F30" s="12">
        <v>46263</v>
      </c>
      <c r="G30" s="12">
        <v>46265</v>
      </c>
      <c r="H30" s="11" t="s">
        <v>47</v>
      </c>
      <c r="I30" s="13">
        <v>100</v>
      </c>
      <c r="J30" s="11" t="s">
        <v>177</v>
      </c>
      <c r="K30" s="11" t="s">
        <v>93</v>
      </c>
      <c r="L30" s="11"/>
      <c r="M30" s="16" t="str">
        <f t="shared" ca="1" si="0"/>
        <v>Completed</v>
      </c>
    </row>
    <row r="31" spans="1:13">
      <c r="A31" s="15" t="s">
        <v>178</v>
      </c>
      <c r="B31" s="11" t="s">
        <v>131</v>
      </c>
      <c r="C31" s="11" t="s">
        <v>166</v>
      </c>
      <c r="D31" s="11" t="s">
        <v>179</v>
      </c>
      <c r="E31" s="11" t="s">
        <v>107</v>
      </c>
      <c r="F31" s="12">
        <v>46263</v>
      </c>
      <c r="G31" s="12">
        <v>46265</v>
      </c>
      <c r="H31" s="11" t="s">
        <v>47</v>
      </c>
      <c r="I31" s="13">
        <v>100</v>
      </c>
      <c r="J31" s="11" t="s">
        <v>180</v>
      </c>
      <c r="K31" s="11" t="s">
        <v>93</v>
      </c>
      <c r="L31" s="11"/>
      <c r="M31" s="16" t="str">
        <f t="shared" ca="1" si="0"/>
        <v>Completed</v>
      </c>
    </row>
    <row r="32" spans="1:13">
      <c r="A32" s="15" t="s">
        <v>181</v>
      </c>
      <c r="B32" s="11" t="s">
        <v>131</v>
      </c>
      <c r="C32" s="11" t="s">
        <v>166</v>
      </c>
      <c r="D32" s="11" t="s">
        <v>182</v>
      </c>
      <c r="E32" s="11" t="s">
        <v>115</v>
      </c>
      <c r="F32" s="12">
        <v>46263</v>
      </c>
      <c r="G32" s="12">
        <v>46265</v>
      </c>
      <c r="H32" s="11" t="s">
        <v>47</v>
      </c>
      <c r="I32" s="13">
        <v>100</v>
      </c>
      <c r="J32" s="11" t="s">
        <v>116</v>
      </c>
      <c r="K32" s="11" t="s">
        <v>93</v>
      </c>
      <c r="L32" s="11"/>
      <c r="M32" s="16" t="str">
        <f t="shared" ca="1" si="0"/>
        <v>Completed</v>
      </c>
    </row>
    <row r="33" spans="1:13">
      <c r="A33" s="15" t="s">
        <v>183</v>
      </c>
      <c r="B33" s="11" t="s">
        <v>131</v>
      </c>
      <c r="C33" s="11" t="s">
        <v>166</v>
      </c>
      <c r="D33" s="11" t="s">
        <v>184</v>
      </c>
      <c r="E33" s="11" t="s">
        <v>115</v>
      </c>
      <c r="F33" s="12">
        <v>46264</v>
      </c>
      <c r="G33" s="12">
        <v>46267</v>
      </c>
      <c r="H33" s="11" t="s">
        <v>47</v>
      </c>
      <c r="I33" s="13">
        <v>100</v>
      </c>
      <c r="J33" s="27" t="s">
        <v>119</v>
      </c>
      <c r="K33" s="11" t="s">
        <v>93</v>
      </c>
      <c r="L33" s="11"/>
      <c r="M33" s="16" t="str">
        <f t="shared" ca="1" si="0"/>
        <v>Completed</v>
      </c>
    </row>
    <row r="34" spans="1:13">
      <c r="A34" s="15" t="s">
        <v>185</v>
      </c>
      <c r="B34" s="11" t="s">
        <v>131</v>
      </c>
      <c r="C34" s="11" t="s">
        <v>166</v>
      </c>
      <c r="D34" s="11" t="s">
        <v>186</v>
      </c>
      <c r="E34" s="11" t="s">
        <v>115</v>
      </c>
      <c r="F34" s="12">
        <v>46265</v>
      </c>
      <c r="G34" s="12">
        <v>46265</v>
      </c>
      <c r="H34" s="11" t="s">
        <v>47</v>
      </c>
      <c r="I34" s="13">
        <v>100</v>
      </c>
      <c r="J34" s="11" t="s">
        <v>126</v>
      </c>
      <c r="K34" s="11" t="s">
        <v>93</v>
      </c>
      <c r="L34" s="11"/>
      <c r="M34" s="16" t="str">
        <f t="shared" ca="1" si="0"/>
        <v>Completed</v>
      </c>
    </row>
    <row r="35" spans="1:13">
      <c r="A35" s="15" t="s">
        <v>187</v>
      </c>
      <c r="B35" s="11" t="s">
        <v>131</v>
      </c>
      <c r="C35" s="11" t="s">
        <v>166</v>
      </c>
      <c r="D35" s="11" t="s">
        <v>188</v>
      </c>
      <c r="E35" s="11" t="s">
        <v>54</v>
      </c>
      <c r="F35" s="12">
        <v>46262</v>
      </c>
      <c r="G35" s="12">
        <v>46267</v>
      </c>
      <c r="H35" s="11" t="s">
        <v>47</v>
      </c>
      <c r="I35" s="13">
        <v>100</v>
      </c>
      <c r="J35" s="11" t="s">
        <v>189</v>
      </c>
      <c r="K35" s="11" t="s">
        <v>93</v>
      </c>
      <c r="L35" s="11"/>
      <c r="M35" s="16" t="str">
        <f t="shared" ref="M35:M58" ca="1" si="1">IF(D35="","",IF(H35="Completed","Completed",IF(H35="Blocked","Blocked",IF(H35="Delayed","Delayed",IF(AND(G35&lt;&gt;"",G35&lt;TODAY(),H35&lt;&gt;"Completed"),"Overdue","On Track")))))</f>
        <v>Completed</v>
      </c>
    </row>
    <row r="36" spans="1:13">
      <c r="A36" s="15" t="s">
        <v>190</v>
      </c>
      <c r="B36" s="11" t="s">
        <v>131</v>
      </c>
      <c r="C36" s="11" t="s">
        <v>166</v>
      </c>
      <c r="D36" s="11" t="s">
        <v>191</v>
      </c>
      <c r="E36" s="11" t="s">
        <v>107</v>
      </c>
      <c r="F36" s="12">
        <v>46264</v>
      </c>
      <c r="G36" s="12">
        <v>46265</v>
      </c>
      <c r="H36" s="11" t="s">
        <v>47</v>
      </c>
      <c r="I36" s="13">
        <v>100</v>
      </c>
      <c r="J36" s="11" t="s">
        <v>126</v>
      </c>
      <c r="K36" s="11" t="s">
        <v>93</v>
      </c>
      <c r="L36" s="11"/>
      <c r="M36" s="16" t="str">
        <f t="shared" ca="1" si="1"/>
        <v>Completed</v>
      </c>
    </row>
    <row r="37" spans="1:13" ht="16.8">
      <c r="A37" s="15" t="s">
        <v>192</v>
      </c>
      <c r="B37" s="11" t="s">
        <v>131</v>
      </c>
      <c r="C37" s="11"/>
      <c r="D37" s="11" t="s">
        <v>193</v>
      </c>
      <c r="E37" s="11" t="s">
        <v>107</v>
      </c>
      <c r="F37" s="12">
        <v>46264</v>
      </c>
      <c r="G37" s="12">
        <v>46265</v>
      </c>
      <c r="H37" s="11" t="s">
        <v>47</v>
      </c>
      <c r="I37" s="13">
        <v>100</v>
      </c>
      <c r="J37" s="26" t="s">
        <v>194</v>
      </c>
      <c r="K37" s="11" t="s">
        <v>93</v>
      </c>
      <c r="L37" s="11"/>
      <c r="M37" s="16" t="str">
        <f t="shared" ca="1" si="1"/>
        <v>Completed</v>
      </c>
    </row>
    <row r="38" spans="1:13" ht="16.8">
      <c r="A38" s="26" t="s">
        <v>195</v>
      </c>
      <c r="B38" s="11" t="s">
        <v>196</v>
      </c>
      <c r="C38" s="26" t="s">
        <v>197</v>
      </c>
      <c r="D38" s="27" t="s">
        <v>198</v>
      </c>
      <c r="E38" s="26" t="s">
        <v>122</v>
      </c>
      <c r="F38" s="12">
        <v>46266</v>
      </c>
      <c r="G38" s="12">
        <v>46268</v>
      </c>
      <c r="H38" s="11" t="s">
        <v>47</v>
      </c>
      <c r="I38" s="13">
        <v>100</v>
      </c>
      <c r="J38" s="26" t="s">
        <v>199</v>
      </c>
      <c r="K38" s="11" t="s">
        <v>93</v>
      </c>
      <c r="L38" s="11"/>
      <c r="M38" s="16" t="str">
        <f t="shared" ca="1" si="1"/>
        <v>Completed</v>
      </c>
    </row>
    <row r="39" spans="1:13" ht="16.8">
      <c r="A39" s="26" t="s">
        <v>200</v>
      </c>
      <c r="B39" s="11" t="s">
        <v>196</v>
      </c>
      <c r="C39" s="26" t="s">
        <v>197</v>
      </c>
      <c r="D39" s="26" t="s">
        <v>201</v>
      </c>
      <c r="E39" s="26" t="s">
        <v>54</v>
      </c>
      <c r="F39" s="12">
        <v>46266</v>
      </c>
      <c r="G39" s="12">
        <v>46268</v>
      </c>
      <c r="H39" s="11" t="s">
        <v>47</v>
      </c>
      <c r="I39" s="13">
        <v>100</v>
      </c>
      <c r="J39" s="26" t="s">
        <v>199</v>
      </c>
      <c r="K39" s="11" t="s">
        <v>93</v>
      </c>
      <c r="L39" s="11"/>
      <c r="M39" s="16" t="str">
        <f t="shared" ca="1" si="1"/>
        <v>Completed</v>
      </c>
    </row>
    <row r="40" spans="1:13" ht="33.6">
      <c r="A40" s="26" t="s">
        <v>202</v>
      </c>
      <c r="B40" s="11" t="s">
        <v>196</v>
      </c>
      <c r="C40" s="26" t="s">
        <v>197</v>
      </c>
      <c r="D40" s="26" t="s">
        <v>203</v>
      </c>
      <c r="E40" s="26" t="s">
        <v>204</v>
      </c>
      <c r="F40" s="12">
        <v>46267</v>
      </c>
      <c r="G40" s="12">
        <v>46269</v>
      </c>
      <c r="H40" s="11" t="s">
        <v>47</v>
      </c>
      <c r="I40" s="13">
        <v>100</v>
      </c>
      <c r="J40" s="29" t="s">
        <v>205</v>
      </c>
      <c r="K40" s="11" t="s">
        <v>93</v>
      </c>
      <c r="L40" s="11"/>
      <c r="M40" s="16" t="str">
        <f t="shared" ca="1" si="1"/>
        <v>Completed</v>
      </c>
    </row>
    <row r="41" spans="1:13" ht="33.6">
      <c r="A41" s="26" t="s">
        <v>206</v>
      </c>
      <c r="B41" s="26" t="s">
        <v>196</v>
      </c>
      <c r="C41" s="26" t="s">
        <v>197</v>
      </c>
      <c r="D41" s="29" t="s">
        <v>207</v>
      </c>
      <c r="E41" s="26" t="s">
        <v>122</v>
      </c>
      <c r="F41" s="12">
        <v>46267</v>
      </c>
      <c r="G41" s="12">
        <v>46269</v>
      </c>
      <c r="H41" s="11" t="s">
        <v>47</v>
      </c>
      <c r="I41" s="13">
        <v>100</v>
      </c>
      <c r="J41" s="11" t="s">
        <v>208</v>
      </c>
      <c r="K41" s="11" t="s">
        <v>93</v>
      </c>
      <c r="L41" s="11"/>
      <c r="M41" s="16" t="str">
        <f t="shared" ca="1" si="1"/>
        <v>Completed</v>
      </c>
    </row>
    <row r="42" spans="1:13" ht="16.8">
      <c r="A42" s="26" t="s">
        <v>209</v>
      </c>
      <c r="B42" s="26" t="s">
        <v>196</v>
      </c>
      <c r="C42" s="26" t="s">
        <v>197</v>
      </c>
      <c r="D42" s="29" t="s">
        <v>210</v>
      </c>
      <c r="E42" s="26" t="s">
        <v>204</v>
      </c>
      <c r="F42" s="12">
        <v>46268</v>
      </c>
      <c r="G42" s="12">
        <v>46271</v>
      </c>
      <c r="H42" s="11" t="s">
        <v>47</v>
      </c>
      <c r="I42" s="13">
        <v>100</v>
      </c>
      <c r="J42" s="26" t="s">
        <v>199</v>
      </c>
      <c r="K42" s="11" t="s">
        <v>93</v>
      </c>
      <c r="L42" s="11"/>
      <c r="M42" s="16" t="str">
        <f t="shared" ca="1" si="1"/>
        <v>Completed</v>
      </c>
    </row>
    <row r="43" spans="1:13" ht="16.8">
      <c r="A43" s="26" t="s">
        <v>211</v>
      </c>
      <c r="B43" s="26" t="s">
        <v>196</v>
      </c>
      <c r="C43" s="26" t="s">
        <v>197</v>
      </c>
      <c r="D43" s="26" t="s">
        <v>212</v>
      </c>
      <c r="E43" s="26" t="s">
        <v>137</v>
      </c>
      <c r="F43" s="12">
        <v>46270</v>
      </c>
      <c r="G43" s="12">
        <v>46272</v>
      </c>
      <c r="H43" s="11" t="s">
        <v>47</v>
      </c>
      <c r="I43" s="13">
        <v>100</v>
      </c>
      <c r="J43" s="11" t="s">
        <v>213</v>
      </c>
      <c r="K43" s="11" t="s">
        <v>93</v>
      </c>
      <c r="L43" s="11"/>
      <c r="M43" s="16" t="str">
        <f t="shared" ca="1" si="1"/>
        <v>Completed</v>
      </c>
    </row>
    <row r="44" spans="1:13" ht="16.8">
      <c r="A44" s="26" t="s">
        <v>214</v>
      </c>
      <c r="B44" s="26" t="s">
        <v>196</v>
      </c>
      <c r="C44" s="26" t="s">
        <v>215</v>
      </c>
      <c r="D44" s="26" t="s">
        <v>216</v>
      </c>
      <c r="E44" s="26" t="s">
        <v>96</v>
      </c>
      <c r="F44" s="12">
        <v>46271</v>
      </c>
      <c r="G44" s="28">
        <v>46273</v>
      </c>
      <c r="H44" s="11" t="s">
        <v>47</v>
      </c>
      <c r="I44" s="13">
        <v>100</v>
      </c>
      <c r="J44" s="11" t="s">
        <v>217</v>
      </c>
      <c r="K44" s="11" t="s">
        <v>93</v>
      </c>
      <c r="L44" s="11"/>
      <c r="M44" s="16" t="str">
        <f t="shared" ca="1" si="1"/>
        <v>Completed</v>
      </c>
    </row>
    <row r="45" spans="1:13" ht="16.8">
      <c r="A45" s="26" t="s">
        <v>218</v>
      </c>
      <c r="B45" s="26" t="s">
        <v>196</v>
      </c>
      <c r="C45" s="26" t="s">
        <v>215</v>
      </c>
      <c r="D45" s="26" t="s">
        <v>219</v>
      </c>
      <c r="E45" s="26" t="s">
        <v>96</v>
      </c>
      <c r="F45" s="12">
        <v>46271</v>
      </c>
      <c r="G45" s="12">
        <v>46273</v>
      </c>
      <c r="H45" s="11" t="s">
        <v>47</v>
      </c>
      <c r="I45" s="13">
        <v>100</v>
      </c>
      <c r="J45" s="11" t="s">
        <v>220</v>
      </c>
      <c r="K45" s="11" t="s">
        <v>93</v>
      </c>
      <c r="L45" s="11"/>
      <c r="M45" s="16" t="str">
        <f t="shared" ca="1" si="1"/>
        <v>Completed</v>
      </c>
    </row>
    <row r="46" spans="1:13" ht="16.8">
      <c r="A46" s="26" t="s">
        <v>221</v>
      </c>
      <c r="B46" s="26" t="s">
        <v>196</v>
      </c>
      <c r="C46" s="26" t="s">
        <v>215</v>
      </c>
      <c r="D46" s="26" t="s">
        <v>222</v>
      </c>
      <c r="E46" s="26" t="s">
        <v>96</v>
      </c>
      <c r="F46" s="12">
        <v>46272</v>
      </c>
      <c r="G46" s="12">
        <v>46274</v>
      </c>
      <c r="H46" s="11" t="s">
        <v>47</v>
      </c>
      <c r="I46" s="13">
        <v>100</v>
      </c>
      <c r="J46" s="11" t="s">
        <v>223</v>
      </c>
      <c r="K46" s="11" t="s">
        <v>93</v>
      </c>
      <c r="L46" s="11"/>
      <c r="M46" s="16" t="str">
        <f t="shared" ca="1" si="1"/>
        <v>Completed</v>
      </c>
    </row>
    <row r="47" spans="1:13" ht="33.6">
      <c r="A47" s="26" t="s">
        <v>224</v>
      </c>
      <c r="B47" s="26" t="s">
        <v>196</v>
      </c>
      <c r="C47" s="26" t="s">
        <v>215</v>
      </c>
      <c r="D47" s="26" t="s">
        <v>225</v>
      </c>
      <c r="E47" s="29" t="s">
        <v>226</v>
      </c>
      <c r="F47" s="12">
        <v>46273</v>
      </c>
      <c r="G47" s="12">
        <v>46276</v>
      </c>
      <c r="H47" s="11" t="s">
        <v>47</v>
      </c>
      <c r="I47" s="13">
        <v>100</v>
      </c>
      <c r="J47" s="11" t="s">
        <v>227</v>
      </c>
      <c r="K47" s="11" t="s">
        <v>93</v>
      </c>
      <c r="L47" s="11"/>
      <c r="M47" s="16" t="str">
        <f t="shared" ca="1" si="1"/>
        <v>Completed</v>
      </c>
    </row>
    <row r="48" spans="1:13" ht="16.8">
      <c r="A48" s="26" t="s">
        <v>228</v>
      </c>
      <c r="B48" s="26" t="s">
        <v>196</v>
      </c>
      <c r="C48" s="26" t="s">
        <v>215</v>
      </c>
      <c r="D48" s="26" t="s">
        <v>229</v>
      </c>
      <c r="E48" s="29" t="s">
        <v>204</v>
      </c>
      <c r="F48" s="12">
        <v>46274</v>
      </c>
      <c r="G48" s="12">
        <v>46275</v>
      </c>
      <c r="H48" s="11" t="s">
        <v>47</v>
      </c>
      <c r="I48" s="13">
        <v>100</v>
      </c>
      <c r="J48" s="11" t="s">
        <v>230</v>
      </c>
      <c r="K48" s="11" t="s">
        <v>93</v>
      </c>
      <c r="L48" s="11"/>
      <c r="M48" s="16" t="str">
        <f t="shared" ca="1" si="1"/>
        <v>Completed</v>
      </c>
    </row>
    <row r="49" spans="1:13" ht="16.8">
      <c r="A49" s="26" t="s">
        <v>231</v>
      </c>
      <c r="B49" s="26" t="s">
        <v>196</v>
      </c>
      <c r="C49" s="26" t="s">
        <v>215</v>
      </c>
      <c r="D49" s="26" t="s">
        <v>232</v>
      </c>
      <c r="E49" s="26" t="s">
        <v>137</v>
      </c>
      <c r="F49" s="28">
        <v>46275</v>
      </c>
      <c r="G49" s="12">
        <v>46278</v>
      </c>
      <c r="H49" s="11" t="s">
        <v>47</v>
      </c>
      <c r="I49" s="13">
        <v>100</v>
      </c>
      <c r="J49" s="11" t="s">
        <v>233</v>
      </c>
      <c r="K49" s="11" t="s">
        <v>93</v>
      </c>
      <c r="L49" s="11"/>
      <c r="M49" s="16" t="str">
        <f t="shared" ca="1" si="1"/>
        <v>Completed</v>
      </c>
    </row>
    <row r="50" spans="1:13" ht="16.8">
      <c r="A50" s="26" t="s">
        <v>234</v>
      </c>
      <c r="B50" s="26" t="s">
        <v>196</v>
      </c>
      <c r="C50" s="26" t="s">
        <v>215</v>
      </c>
      <c r="D50" s="27" t="s">
        <v>235</v>
      </c>
      <c r="E50" s="26" t="s">
        <v>122</v>
      </c>
      <c r="F50" s="12">
        <v>46275</v>
      </c>
      <c r="G50" s="12">
        <v>46278</v>
      </c>
      <c r="H50" s="11" t="s">
        <v>47</v>
      </c>
      <c r="I50" s="13">
        <v>100</v>
      </c>
      <c r="J50" s="11" t="s">
        <v>233</v>
      </c>
      <c r="K50" s="11" t="s">
        <v>93</v>
      </c>
      <c r="L50" s="11"/>
      <c r="M50" s="16" t="str">
        <f t="shared" ca="1" si="1"/>
        <v>Completed</v>
      </c>
    </row>
    <row r="51" spans="1:13" ht="50.4">
      <c r="A51" s="26" t="s">
        <v>236</v>
      </c>
      <c r="B51" s="26" t="s">
        <v>196</v>
      </c>
      <c r="C51" s="26" t="s">
        <v>215</v>
      </c>
      <c r="D51" s="29" t="s">
        <v>237</v>
      </c>
      <c r="E51" s="26" t="s">
        <v>122</v>
      </c>
      <c r="F51" s="12">
        <v>46275</v>
      </c>
      <c r="G51" s="12">
        <v>46278</v>
      </c>
      <c r="H51" s="11" t="s">
        <v>47</v>
      </c>
      <c r="I51" s="13">
        <v>100</v>
      </c>
      <c r="J51" s="26" t="s">
        <v>238</v>
      </c>
      <c r="K51" s="11" t="s">
        <v>93</v>
      </c>
      <c r="L51" s="11"/>
      <c r="M51" s="16" t="str">
        <f t="shared" ca="1" si="1"/>
        <v>Completed</v>
      </c>
    </row>
    <row r="52" spans="1:13" ht="16.8">
      <c r="A52" s="26" t="s">
        <v>239</v>
      </c>
      <c r="B52" s="26" t="s">
        <v>196</v>
      </c>
      <c r="C52" s="26" t="s">
        <v>215</v>
      </c>
      <c r="D52" s="26" t="s">
        <v>240</v>
      </c>
      <c r="E52" s="26" t="s">
        <v>122</v>
      </c>
      <c r="F52" s="12">
        <v>46277</v>
      </c>
      <c r="G52" s="12">
        <v>46279</v>
      </c>
      <c r="H52" s="11" t="s">
        <v>47</v>
      </c>
      <c r="I52" s="13">
        <v>100</v>
      </c>
      <c r="J52" s="26" t="s">
        <v>241</v>
      </c>
      <c r="K52" s="11" t="s">
        <v>93</v>
      </c>
      <c r="L52" s="11"/>
      <c r="M52" s="16" t="str">
        <f ca="1">IF(D52="","",IF(H52="Completed","Completed",IF(H52="Blocked","Blocked",IF(H52="Delayed","Delayed",IF(AND(G52&lt;&gt;"",G52&lt;TODAY(),H52&lt;&gt;"Completed"),"Overdue","On Track")))))</f>
        <v>Completed</v>
      </c>
    </row>
    <row r="53" spans="1:13" ht="16.8">
      <c r="A53" s="26" t="s">
        <v>242</v>
      </c>
      <c r="B53" s="26" t="s">
        <v>196</v>
      </c>
      <c r="C53" s="26" t="s">
        <v>215</v>
      </c>
      <c r="D53" s="26" t="s">
        <v>243</v>
      </c>
      <c r="E53" s="26" t="s">
        <v>122</v>
      </c>
      <c r="F53" s="28">
        <v>46278</v>
      </c>
      <c r="G53" s="12">
        <v>46280</v>
      </c>
      <c r="H53" s="11" t="s">
        <v>47</v>
      </c>
      <c r="I53" s="13">
        <v>100</v>
      </c>
      <c r="J53" s="29" t="s">
        <v>244</v>
      </c>
      <c r="K53" s="11" t="s">
        <v>93</v>
      </c>
      <c r="L53" s="11"/>
      <c r="M53" s="16" t="str">
        <f t="shared" ca="1" si="1"/>
        <v>Completed</v>
      </c>
    </row>
    <row r="54" spans="1:13" ht="16.8">
      <c r="A54" s="26" t="s">
        <v>245</v>
      </c>
      <c r="B54" s="26" t="s">
        <v>196</v>
      </c>
      <c r="C54" s="26" t="s">
        <v>215</v>
      </c>
      <c r="D54" s="26" t="s">
        <v>246</v>
      </c>
      <c r="E54" s="26" t="s">
        <v>247</v>
      </c>
      <c r="F54" s="12">
        <v>46279</v>
      </c>
      <c r="G54" s="12">
        <v>46282</v>
      </c>
      <c r="H54" s="11" t="s">
        <v>47</v>
      </c>
      <c r="I54" s="13">
        <v>100</v>
      </c>
      <c r="J54" s="29" t="s">
        <v>248</v>
      </c>
      <c r="K54" s="11" t="s">
        <v>93</v>
      </c>
      <c r="L54" s="11"/>
      <c r="M54" s="16" t="str">
        <f t="shared" ca="1" si="1"/>
        <v>Completed</v>
      </c>
    </row>
    <row r="55" spans="1:13" ht="33.6">
      <c r="A55" s="26" t="s">
        <v>249</v>
      </c>
      <c r="B55" s="26" t="s">
        <v>196</v>
      </c>
      <c r="C55" s="26" t="s">
        <v>250</v>
      </c>
      <c r="D55" s="29" t="s">
        <v>251</v>
      </c>
      <c r="E55" s="26" t="s">
        <v>137</v>
      </c>
      <c r="F55" s="12">
        <v>46280</v>
      </c>
      <c r="G55" s="12">
        <v>46282</v>
      </c>
      <c r="H55" s="11" t="s">
        <v>47</v>
      </c>
      <c r="I55" s="13">
        <v>100</v>
      </c>
      <c r="J55" s="26" t="s">
        <v>252</v>
      </c>
      <c r="K55" s="11" t="s">
        <v>93</v>
      </c>
      <c r="L55" s="11"/>
      <c r="M55" s="16" t="str">
        <f t="shared" ca="1" si="1"/>
        <v>Completed</v>
      </c>
    </row>
    <row r="56" spans="1:13" ht="27.6">
      <c r="A56" s="26" t="s">
        <v>253</v>
      </c>
      <c r="B56" s="26" t="s">
        <v>196</v>
      </c>
      <c r="C56" s="26" t="s">
        <v>250</v>
      </c>
      <c r="D56" s="27" t="s">
        <v>254</v>
      </c>
      <c r="E56" s="26" t="s">
        <v>54</v>
      </c>
      <c r="F56" s="12">
        <v>46280</v>
      </c>
      <c r="G56" s="12">
        <v>46282</v>
      </c>
      <c r="H56" s="11" t="s">
        <v>47</v>
      </c>
      <c r="I56" s="13">
        <v>100</v>
      </c>
      <c r="J56" s="32" t="s">
        <v>255</v>
      </c>
      <c r="K56" s="11" t="s">
        <v>93</v>
      </c>
      <c r="L56" s="11"/>
      <c r="M56" s="16" t="str">
        <f t="shared" ca="1" si="1"/>
        <v>Completed</v>
      </c>
    </row>
    <row r="57" spans="1:13" ht="16.8">
      <c r="A57" s="26" t="s">
        <v>256</v>
      </c>
      <c r="B57" s="26" t="s">
        <v>196</v>
      </c>
      <c r="C57" s="26" t="s">
        <v>250</v>
      </c>
      <c r="D57" s="29" t="s">
        <v>257</v>
      </c>
      <c r="E57" s="26" t="s">
        <v>258</v>
      </c>
      <c r="F57" s="12">
        <v>46282</v>
      </c>
      <c r="G57" s="12">
        <v>46287</v>
      </c>
      <c r="H57" s="11" t="s">
        <v>47</v>
      </c>
      <c r="I57" s="13">
        <v>100</v>
      </c>
      <c r="J57" s="29" t="s">
        <v>259</v>
      </c>
      <c r="K57" s="11" t="s">
        <v>93</v>
      </c>
      <c r="L57" s="11"/>
      <c r="M57" s="16" t="str">
        <f t="shared" ca="1" si="1"/>
        <v>Completed</v>
      </c>
    </row>
    <row r="58" spans="1:13" ht="16.8">
      <c r="A58" s="26" t="s">
        <v>260</v>
      </c>
      <c r="B58" s="26" t="s">
        <v>196</v>
      </c>
      <c r="C58" s="26" t="s">
        <v>250</v>
      </c>
      <c r="D58" s="27" t="s">
        <v>261</v>
      </c>
      <c r="E58" s="26" t="s">
        <v>262</v>
      </c>
      <c r="F58" s="12">
        <v>46282</v>
      </c>
      <c r="G58" s="12">
        <v>46287</v>
      </c>
      <c r="H58" s="11" t="s">
        <v>47</v>
      </c>
      <c r="I58" s="13">
        <v>100</v>
      </c>
      <c r="J58" s="32" t="s">
        <v>263</v>
      </c>
      <c r="K58" s="11" t="s">
        <v>93</v>
      </c>
      <c r="L58" s="11"/>
      <c r="M58" s="16" t="str">
        <f t="shared" ca="1" si="1"/>
        <v>Completed</v>
      </c>
    </row>
    <row r="59" spans="1:13">
      <c r="A59" s="15" t="s">
        <v>264</v>
      </c>
      <c r="B59" s="11" t="s">
        <v>196</v>
      </c>
      <c r="C59" s="11" t="s">
        <v>250</v>
      </c>
      <c r="D59" s="11" t="s">
        <v>265</v>
      </c>
      <c r="E59" s="11" t="s">
        <v>137</v>
      </c>
      <c r="F59" s="12">
        <v>46284</v>
      </c>
      <c r="G59" s="12">
        <v>46285</v>
      </c>
      <c r="H59" s="11" t="s">
        <v>47</v>
      </c>
      <c r="I59" s="13">
        <v>100</v>
      </c>
      <c r="J59" s="11" t="s">
        <v>266</v>
      </c>
      <c r="K59" s="11" t="s">
        <v>93</v>
      </c>
      <c r="L59" s="11"/>
      <c r="M59" s="16" t="str">
        <f t="shared" ref="M59:M90" ca="1" si="2">IF(D59="","",IF(H59="Completed","Completed",IF(H59="Blocked","Blocked",IF(H59="Delayed","Delayed",IF(AND(G59&lt;&gt;"",G59&lt;TODAY(),H59&lt;&gt;"Completed"),"Overdue","On Track")))))</f>
        <v>Completed</v>
      </c>
    </row>
    <row r="60" spans="1:13" ht="27.6">
      <c r="A60" s="15" t="s">
        <v>267</v>
      </c>
      <c r="B60" s="11" t="s">
        <v>196</v>
      </c>
      <c r="C60" s="11" t="s">
        <v>250</v>
      </c>
      <c r="D60" s="11" t="s">
        <v>268</v>
      </c>
      <c r="E60" s="11" t="s">
        <v>122</v>
      </c>
      <c r="F60" s="12">
        <v>46285</v>
      </c>
      <c r="G60" s="12">
        <v>46286</v>
      </c>
      <c r="H60" s="11" t="s">
        <v>47</v>
      </c>
      <c r="I60" s="13">
        <v>100</v>
      </c>
      <c r="J60" s="11" t="s">
        <v>269</v>
      </c>
      <c r="K60" s="11" t="s">
        <v>93</v>
      </c>
      <c r="L60" s="11"/>
      <c r="M60" s="16" t="str">
        <f t="shared" ca="1" si="2"/>
        <v>Completed</v>
      </c>
    </row>
    <row r="61" spans="1:13" ht="27.6">
      <c r="A61" s="15" t="s">
        <v>270</v>
      </c>
      <c r="B61" s="11" t="s">
        <v>196</v>
      </c>
      <c r="C61" s="11" t="s">
        <v>250</v>
      </c>
      <c r="D61" s="11" t="s">
        <v>271</v>
      </c>
      <c r="E61" s="11" t="s">
        <v>272</v>
      </c>
      <c r="F61" s="12">
        <v>46285</v>
      </c>
      <c r="G61" s="12">
        <v>46286</v>
      </c>
      <c r="H61" s="11" t="s">
        <v>47</v>
      </c>
      <c r="I61" s="13">
        <v>100</v>
      </c>
      <c r="J61" s="11" t="s">
        <v>273</v>
      </c>
      <c r="K61" s="11" t="s">
        <v>93</v>
      </c>
      <c r="L61" s="11"/>
      <c r="M61" s="16" t="str">
        <f t="shared" ca="1" si="2"/>
        <v>Completed</v>
      </c>
    </row>
    <row r="62" spans="1:13" ht="27.6">
      <c r="A62" s="15" t="s">
        <v>274</v>
      </c>
      <c r="B62" s="11" t="s">
        <v>196</v>
      </c>
      <c r="C62" s="11" t="s">
        <v>250</v>
      </c>
      <c r="D62" s="11" t="s">
        <v>275</v>
      </c>
      <c r="E62" s="11" t="s">
        <v>107</v>
      </c>
      <c r="F62" s="12">
        <v>46286</v>
      </c>
      <c r="G62" s="12">
        <v>46287</v>
      </c>
      <c r="H62" s="11" t="s">
        <v>47</v>
      </c>
      <c r="I62" s="13">
        <v>100</v>
      </c>
      <c r="J62" s="11" t="s">
        <v>276</v>
      </c>
      <c r="K62" s="11" t="s">
        <v>93</v>
      </c>
      <c r="L62" s="11"/>
      <c r="M62" s="16" t="str">
        <f t="shared" ca="1" si="2"/>
        <v>Completed</v>
      </c>
    </row>
    <row r="63" spans="1:13" ht="27.6">
      <c r="A63" s="15" t="s">
        <v>277</v>
      </c>
      <c r="B63" s="11" t="s">
        <v>196</v>
      </c>
      <c r="C63" s="11" t="s">
        <v>250</v>
      </c>
      <c r="D63" s="11" t="s">
        <v>278</v>
      </c>
      <c r="E63" s="11" t="s">
        <v>107</v>
      </c>
      <c r="F63" s="12">
        <v>46283</v>
      </c>
      <c r="G63" s="12">
        <v>46285</v>
      </c>
      <c r="H63" s="11" t="s">
        <v>47</v>
      </c>
      <c r="I63" s="13">
        <v>100</v>
      </c>
      <c r="J63" s="11" t="s">
        <v>279</v>
      </c>
      <c r="K63" s="11" t="s">
        <v>93</v>
      </c>
      <c r="L63" s="11"/>
      <c r="M63" s="16" t="str">
        <f t="shared" ca="1" si="2"/>
        <v>Completed</v>
      </c>
    </row>
    <row r="64" spans="1:13" ht="27.6">
      <c r="A64" s="15" t="s">
        <v>280</v>
      </c>
      <c r="B64" s="11" t="s">
        <v>196</v>
      </c>
      <c r="C64" s="11" t="s">
        <v>250</v>
      </c>
      <c r="D64" s="11" t="s">
        <v>281</v>
      </c>
      <c r="E64" s="11" t="s">
        <v>107</v>
      </c>
      <c r="F64" s="12">
        <v>46285</v>
      </c>
      <c r="G64" s="12">
        <v>46285</v>
      </c>
      <c r="H64" s="11" t="s">
        <v>47</v>
      </c>
      <c r="I64" s="13">
        <v>100</v>
      </c>
      <c r="J64" s="11" t="s">
        <v>282</v>
      </c>
      <c r="K64" s="11" t="s">
        <v>93</v>
      </c>
      <c r="L64" s="11"/>
      <c r="M64" s="16" t="str">
        <f t="shared" ca="1" si="2"/>
        <v>Completed</v>
      </c>
    </row>
    <row r="65" spans="1:13" ht="27.6">
      <c r="A65" s="15" t="s">
        <v>283</v>
      </c>
      <c r="B65" s="11" t="s">
        <v>196</v>
      </c>
      <c r="C65" s="11" t="s">
        <v>250</v>
      </c>
      <c r="D65" s="11" t="s">
        <v>284</v>
      </c>
      <c r="E65" s="11" t="s">
        <v>107</v>
      </c>
      <c r="F65" s="12">
        <v>46286</v>
      </c>
      <c r="G65" s="12">
        <v>46287</v>
      </c>
      <c r="H65" s="11" t="s">
        <v>47</v>
      </c>
      <c r="I65" s="13">
        <v>100</v>
      </c>
      <c r="J65" s="11" t="s">
        <v>285</v>
      </c>
      <c r="K65" s="11" t="s">
        <v>93</v>
      </c>
      <c r="L65" s="11"/>
      <c r="M65" s="16" t="str">
        <f t="shared" ca="1" si="2"/>
        <v>Completed</v>
      </c>
    </row>
    <row r="66" spans="1:13" ht="27.6">
      <c r="A66" s="15" t="s">
        <v>286</v>
      </c>
      <c r="B66" s="11" t="s">
        <v>196</v>
      </c>
      <c r="C66" s="11" t="s">
        <v>250</v>
      </c>
      <c r="D66" s="11" t="s">
        <v>287</v>
      </c>
      <c r="E66" s="11" t="s">
        <v>288</v>
      </c>
      <c r="F66" s="12">
        <v>46287</v>
      </c>
      <c r="G66" s="12">
        <v>46288</v>
      </c>
      <c r="H66" s="11" t="s">
        <v>47</v>
      </c>
      <c r="I66" s="13">
        <v>100</v>
      </c>
      <c r="J66" s="30" t="s">
        <v>119</v>
      </c>
      <c r="K66" s="11" t="s">
        <v>93</v>
      </c>
      <c r="L66" s="11"/>
      <c r="M66" s="16" t="str">
        <f t="shared" ca="1" si="2"/>
        <v>Completed</v>
      </c>
    </row>
    <row r="67" spans="1:13" ht="27.6">
      <c r="A67" s="15" t="s">
        <v>289</v>
      </c>
      <c r="B67" s="11" t="s">
        <v>196</v>
      </c>
      <c r="C67" s="11" t="s">
        <v>250</v>
      </c>
      <c r="D67" s="11" t="s">
        <v>290</v>
      </c>
      <c r="E67" s="11" t="s">
        <v>288</v>
      </c>
      <c r="F67" s="12">
        <v>46287</v>
      </c>
      <c r="G67" s="12">
        <v>46288</v>
      </c>
      <c r="H67" s="11" t="s">
        <v>47</v>
      </c>
      <c r="I67" s="13">
        <v>100</v>
      </c>
      <c r="J67" s="11" t="s">
        <v>291</v>
      </c>
      <c r="K67" s="11" t="s">
        <v>93</v>
      </c>
      <c r="L67" s="11"/>
      <c r="M67" s="16" t="str">
        <f t="shared" ca="1" si="2"/>
        <v>Completed</v>
      </c>
    </row>
    <row r="68" spans="1:13">
      <c r="A68" s="15" t="s">
        <v>292</v>
      </c>
      <c r="B68" s="11" t="s">
        <v>196</v>
      </c>
      <c r="C68" s="11" t="s">
        <v>250</v>
      </c>
      <c r="D68" s="11" t="s">
        <v>293</v>
      </c>
      <c r="E68" s="11" t="s">
        <v>288</v>
      </c>
      <c r="F68" s="12">
        <v>46288</v>
      </c>
      <c r="G68" s="12">
        <v>46289</v>
      </c>
      <c r="H68" s="11" t="s">
        <v>47</v>
      </c>
      <c r="I68" s="13">
        <v>100</v>
      </c>
      <c r="J68" s="11" t="s">
        <v>294</v>
      </c>
      <c r="K68" s="11" t="s">
        <v>93</v>
      </c>
      <c r="L68" s="11"/>
      <c r="M68" s="16" t="str">
        <f t="shared" ca="1" si="2"/>
        <v>Completed</v>
      </c>
    </row>
    <row r="69" spans="1:13">
      <c r="A69" s="15" t="s">
        <v>295</v>
      </c>
      <c r="B69" s="11" t="s">
        <v>196</v>
      </c>
      <c r="C69" s="11" t="s">
        <v>250</v>
      </c>
      <c r="D69" s="11" t="s">
        <v>296</v>
      </c>
      <c r="E69" s="11" t="s">
        <v>107</v>
      </c>
      <c r="F69" s="12"/>
      <c r="G69" s="12"/>
      <c r="H69" s="11"/>
      <c r="I69" s="13"/>
      <c r="J69" s="11"/>
      <c r="K69" s="11" t="s">
        <v>93</v>
      </c>
      <c r="L69" s="11"/>
      <c r="M69" s="16" t="str">
        <f t="shared" ca="1" si="2"/>
        <v>On Track</v>
      </c>
    </row>
    <row r="70" spans="1:13">
      <c r="A70" s="17" t="s">
        <v>297</v>
      </c>
      <c r="B70" s="11" t="s">
        <v>196</v>
      </c>
      <c r="C70" s="11"/>
      <c r="D70" s="11" t="s">
        <v>193</v>
      </c>
      <c r="E70" s="11" t="s">
        <v>107</v>
      </c>
      <c r="F70" s="12">
        <v>46296</v>
      </c>
      <c r="G70" s="12">
        <v>46296</v>
      </c>
      <c r="H70" s="11"/>
      <c r="I70" s="13"/>
      <c r="J70" s="11"/>
      <c r="K70" s="11"/>
      <c r="L70" s="11"/>
      <c r="M70" s="17"/>
    </row>
    <row r="71" spans="1:13" ht="41.4">
      <c r="A71" s="17" t="s">
        <v>298</v>
      </c>
      <c r="B71" s="17" t="s">
        <v>57</v>
      </c>
      <c r="C71" s="17" t="s">
        <v>299</v>
      </c>
      <c r="D71" s="11" t="s">
        <v>300</v>
      </c>
      <c r="E71" s="11" t="s">
        <v>107</v>
      </c>
      <c r="F71" s="12">
        <v>46296</v>
      </c>
      <c r="G71" s="12">
        <v>46301</v>
      </c>
      <c r="H71" s="11" t="s">
        <v>47</v>
      </c>
      <c r="I71" s="13">
        <v>100</v>
      </c>
      <c r="J71" s="11" t="s">
        <v>285</v>
      </c>
      <c r="K71" s="11" t="s">
        <v>93</v>
      </c>
      <c r="L71" s="11"/>
      <c r="M71" s="16" t="str">
        <f t="shared" ca="1" si="2"/>
        <v>Completed</v>
      </c>
    </row>
    <row r="72" spans="1:13" s="34" customFormat="1" ht="55.2">
      <c r="A72" s="17" t="s">
        <v>301</v>
      </c>
      <c r="B72" s="17" t="s">
        <v>57</v>
      </c>
      <c r="C72" s="17" t="s">
        <v>299</v>
      </c>
      <c r="D72" s="17" t="s">
        <v>302</v>
      </c>
      <c r="E72" s="17" t="s">
        <v>717</v>
      </c>
      <c r="F72" s="12">
        <v>46296</v>
      </c>
      <c r="G72" s="12">
        <v>46301</v>
      </c>
      <c r="H72" s="11" t="s">
        <v>47</v>
      </c>
      <c r="I72" s="13">
        <v>100</v>
      </c>
      <c r="J72" s="30" t="s">
        <v>119</v>
      </c>
      <c r="K72" s="11" t="s">
        <v>93</v>
      </c>
      <c r="L72" s="17"/>
      <c r="M72" s="17" t="str">
        <f t="shared" ca="1" si="2"/>
        <v>Completed</v>
      </c>
    </row>
    <row r="73" spans="1:13" s="34" customFormat="1" ht="27.6">
      <c r="A73" s="17" t="s">
        <v>303</v>
      </c>
      <c r="B73" s="17" t="s">
        <v>57</v>
      </c>
      <c r="C73" s="17" t="s">
        <v>299</v>
      </c>
      <c r="D73" s="17" t="s">
        <v>304</v>
      </c>
      <c r="E73" s="17" t="s">
        <v>718</v>
      </c>
      <c r="F73" s="12">
        <v>46296</v>
      </c>
      <c r="G73" s="12">
        <v>46302</v>
      </c>
      <c r="H73" s="11" t="s">
        <v>47</v>
      </c>
      <c r="I73" s="13">
        <v>100</v>
      </c>
      <c r="J73" s="30" t="s">
        <v>119</v>
      </c>
      <c r="K73" s="11" t="s">
        <v>93</v>
      </c>
      <c r="L73" s="17"/>
      <c r="M73" s="17" t="str">
        <f t="shared" ca="1" si="2"/>
        <v>Completed</v>
      </c>
    </row>
    <row r="74" spans="1:13" s="34" customFormat="1" ht="41.4">
      <c r="A74" s="17" t="s">
        <v>305</v>
      </c>
      <c r="B74" s="17" t="s">
        <v>57</v>
      </c>
      <c r="C74" s="17" t="s">
        <v>299</v>
      </c>
      <c r="D74" s="17" t="s">
        <v>306</v>
      </c>
      <c r="E74" s="17" t="s">
        <v>718</v>
      </c>
      <c r="F74" s="12">
        <v>46302</v>
      </c>
      <c r="G74" s="36">
        <v>46309</v>
      </c>
      <c r="H74" s="11" t="s">
        <v>47</v>
      </c>
      <c r="I74" s="19">
        <v>100</v>
      </c>
      <c r="J74" s="30" t="s">
        <v>119</v>
      </c>
      <c r="K74" s="11" t="s">
        <v>93</v>
      </c>
      <c r="L74" s="17"/>
      <c r="M74" s="17" t="str">
        <f t="shared" ca="1" si="2"/>
        <v>Completed</v>
      </c>
    </row>
    <row r="75" spans="1:13" s="34" customFormat="1" ht="27.6">
      <c r="A75" s="17" t="s">
        <v>307</v>
      </c>
      <c r="B75" s="17" t="s">
        <v>57</v>
      </c>
      <c r="C75" s="17" t="s">
        <v>299</v>
      </c>
      <c r="D75" s="17" t="s">
        <v>308</v>
      </c>
      <c r="E75" s="17" t="s">
        <v>718</v>
      </c>
      <c r="F75" s="12">
        <v>46304</v>
      </c>
      <c r="G75" s="37">
        <v>46316</v>
      </c>
      <c r="H75" s="11" t="s">
        <v>47</v>
      </c>
      <c r="I75" s="19">
        <v>100</v>
      </c>
      <c r="J75" s="30" t="s">
        <v>119</v>
      </c>
      <c r="K75" s="11" t="s">
        <v>93</v>
      </c>
      <c r="L75" s="17"/>
      <c r="M75" s="17" t="str">
        <f t="shared" ca="1" si="2"/>
        <v>Completed</v>
      </c>
    </row>
    <row r="76" spans="1:13" ht="41.4">
      <c r="A76" s="17" t="s">
        <v>309</v>
      </c>
      <c r="B76" s="17" t="s">
        <v>57</v>
      </c>
      <c r="C76" s="17" t="s">
        <v>299</v>
      </c>
      <c r="D76" s="17" t="s">
        <v>310</v>
      </c>
      <c r="E76" s="17" t="s">
        <v>718</v>
      </c>
      <c r="F76" s="12">
        <v>46305</v>
      </c>
      <c r="G76" s="37">
        <v>46317</v>
      </c>
      <c r="H76" s="11" t="s">
        <v>47</v>
      </c>
      <c r="I76" s="19">
        <v>100</v>
      </c>
      <c r="J76" s="30" t="s">
        <v>119</v>
      </c>
      <c r="K76" s="11" t="s">
        <v>93</v>
      </c>
      <c r="L76" s="17"/>
      <c r="M76" s="17" t="str">
        <f t="shared" ca="1" si="2"/>
        <v>Completed</v>
      </c>
    </row>
    <row r="77" spans="1:13" s="34" customFormat="1" ht="27.6">
      <c r="A77" s="17" t="s">
        <v>311</v>
      </c>
      <c r="B77" s="17" t="s">
        <v>57</v>
      </c>
      <c r="C77" s="17" t="s">
        <v>299</v>
      </c>
      <c r="D77" s="17" t="s">
        <v>312</v>
      </c>
      <c r="E77" s="17" t="s">
        <v>718</v>
      </c>
      <c r="F77" s="12">
        <v>46306</v>
      </c>
      <c r="G77" s="37">
        <v>46318</v>
      </c>
      <c r="H77" s="11" t="s">
        <v>47</v>
      </c>
      <c r="I77" s="19">
        <v>100</v>
      </c>
      <c r="J77" s="30" t="s">
        <v>119</v>
      </c>
      <c r="K77" s="11" t="s">
        <v>93</v>
      </c>
      <c r="L77" s="17"/>
      <c r="M77" s="17" t="str">
        <f t="shared" ca="1" si="2"/>
        <v>Completed</v>
      </c>
    </row>
    <row r="78" spans="1:13" s="34" customFormat="1" ht="27.6">
      <c r="A78" s="17" t="s">
        <v>313</v>
      </c>
      <c r="B78" s="17" t="s">
        <v>57</v>
      </c>
      <c r="C78" s="17" t="s">
        <v>299</v>
      </c>
      <c r="D78" s="17" t="s">
        <v>314</v>
      </c>
      <c r="E78" s="17" t="s">
        <v>718</v>
      </c>
      <c r="F78" s="12">
        <v>46307</v>
      </c>
      <c r="G78" s="37">
        <v>46319</v>
      </c>
      <c r="H78" s="11" t="s">
        <v>47</v>
      </c>
      <c r="I78" s="19">
        <v>100</v>
      </c>
      <c r="J78" s="30" t="s">
        <v>119</v>
      </c>
      <c r="K78" s="11" t="s">
        <v>93</v>
      </c>
      <c r="L78" s="17"/>
      <c r="M78" s="17" t="str">
        <f t="shared" ca="1" si="2"/>
        <v>Completed</v>
      </c>
    </row>
    <row r="79" spans="1:13" s="34" customFormat="1" ht="27.6">
      <c r="A79" s="17" t="s">
        <v>315</v>
      </c>
      <c r="B79" s="17" t="s">
        <v>57</v>
      </c>
      <c r="C79" s="17" t="s">
        <v>299</v>
      </c>
      <c r="D79" s="17" t="s">
        <v>316</v>
      </c>
      <c r="E79" s="17" t="s">
        <v>719</v>
      </c>
      <c r="F79" s="12">
        <v>46308</v>
      </c>
      <c r="G79" s="37">
        <v>46320</v>
      </c>
      <c r="H79" s="11" t="s">
        <v>47</v>
      </c>
      <c r="I79" s="19">
        <v>100</v>
      </c>
      <c r="J79" s="30" t="s">
        <v>119</v>
      </c>
      <c r="K79" s="11" t="s">
        <v>93</v>
      </c>
      <c r="L79" s="17"/>
      <c r="M79" s="17" t="str">
        <f t="shared" ca="1" si="2"/>
        <v>Completed</v>
      </c>
    </row>
    <row r="80" spans="1:13" s="34" customFormat="1" ht="41.4">
      <c r="A80" s="17" t="s">
        <v>317</v>
      </c>
      <c r="B80" s="17" t="s">
        <v>57</v>
      </c>
      <c r="C80" s="17" t="s">
        <v>299</v>
      </c>
      <c r="D80" s="17" t="s">
        <v>318</v>
      </c>
      <c r="E80" s="17" t="s">
        <v>719</v>
      </c>
      <c r="F80" s="12">
        <v>46309</v>
      </c>
      <c r="G80" s="37">
        <v>46321</v>
      </c>
      <c r="H80" s="11" t="s">
        <v>47</v>
      </c>
      <c r="I80" s="19">
        <v>100</v>
      </c>
      <c r="J80" s="30" t="s">
        <v>119</v>
      </c>
      <c r="K80" s="11" t="s">
        <v>93</v>
      </c>
      <c r="L80" s="17"/>
      <c r="M80" s="17" t="str">
        <f t="shared" ca="1" si="2"/>
        <v>Completed</v>
      </c>
    </row>
    <row r="81" spans="1:13" s="34" customFormat="1" ht="41.4">
      <c r="A81" s="17" t="s">
        <v>319</v>
      </c>
      <c r="B81" s="17" t="s">
        <v>57</v>
      </c>
      <c r="C81" s="17" t="s">
        <v>299</v>
      </c>
      <c r="D81" s="17" t="s">
        <v>320</v>
      </c>
      <c r="E81" s="17" t="s">
        <v>719</v>
      </c>
      <c r="F81" s="12">
        <v>46310</v>
      </c>
      <c r="G81" s="37">
        <v>46322</v>
      </c>
      <c r="H81" s="11" t="s">
        <v>47</v>
      </c>
      <c r="I81" s="19">
        <v>100</v>
      </c>
      <c r="J81" s="17" t="s">
        <v>321</v>
      </c>
      <c r="K81" s="11" t="s">
        <v>93</v>
      </c>
      <c r="L81" s="17"/>
      <c r="M81" s="17" t="str">
        <f t="shared" ca="1" si="2"/>
        <v>Completed</v>
      </c>
    </row>
    <row r="82" spans="1:13" s="34" customFormat="1" ht="55.2">
      <c r="A82" s="17" t="s">
        <v>322</v>
      </c>
      <c r="B82" s="17" t="s">
        <v>57</v>
      </c>
      <c r="C82" s="17" t="s">
        <v>323</v>
      </c>
      <c r="D82" s="17" t="s">
        <v>324</v>
      </c>
      <c r="E82" s="17" t="s">
        <v>720</v>
      </c>
      <c r="F82" s="12">
        <v>46311</v>
      </c>
      <c r="G82" s="37">
        <v>46323</v>
      </c>
      <c r="H82" s="11" t="s">
        <v>47</v>
      </c>
      <c r="I82" s="19">
        <v>100</v>
      </c>
      <c r="J82" s="17" t="s">
        <v>325</v>
      </c>
      <c r="K82" s="11" t="s">
        <v>93</v>
      </c>
      <c r="L82" s="17"/>
      <c r="M82" s="17" t="str">
        <f t="shared" ca="1" si="2"/>
        <v>Completed</v>
      </c>
    </row>
    <row r="83" spans="1:13" s="34" customFormat="1" ht="55.2">
      <c r="A83" s="17" t="s">
        <v>326</v>
      </c>
      <c r="B83" s="17" t="s">
        <v>57</v>
      </c>
      <c r="C83" s="17" t="s">
        <v>323</v>
      </c>
      <c r="D83" s="17" t="s">
        <v>721</v>
      </c>
      <c r="E83" s="17" t="s">
        <v>107</v>
      </c>
      <c r="F83" s="12">
        <v>46312</v>
      </c>
      <c r="G83" s="37">
        <v>46324</v>
      </c>
      <c r="H83" s="11" t="s">
        <v>47</v>
      </c>
      <c r="I83" s="19">
        <v>100</v>
      </c>
      <c r="J83" s="17" t="s">
        <v>325</v>
      </c>
      <c r="K83" s="11" t="s">
        <v>722</v>
      </c>
      <c r="L83" s="17"/>
      <c r="M83" s="17" t="str">
        <f t="shared" ca="1" si="2"/>
        <v>Completed</v>
      </c>
    </row>
    <row r="84" spans="1:13" s="34" customFormat="1" ht="55.2">
      <c r="A84" s="17" t="s">
        <v>327</v>
      </c>
      <c r="B84" s="17" t="s">
        <v>57</v>
      </c>
      <c r="C84" s="17" t="s">
        <v>323</v>
      </c>
      <c r="D84" s="17" t="s">
        <v>723</v>
      </c>
      <c r="E84" s="17" t="s">
        <v>107</v>
      </c>
      <c r="F84" s="12">
        <v>46313</v>
      </c>
      <c r="G84" s="37">
        <v>46325</v>
      </c>
      <c r="H84" s="11" t="s">
        <v>47</v>
      </c>
      <c r="I84" s="19">
        <v>100</v>
      </c>
      <c r="J84" s="17" t="s">
        <v>328</v>
      </c>
      <c r="K84" s="11" t="s">
        <v>722</v>
      </c>
      <c r="L84" s="17"/>
      <c r="M84" s="17" t="str">
        <f t="shared" ca="1" si="2"/>
        <v>Completed</v>
      </c>
    </row>
    <row r="85" spans="1:13" s="34" customFormat="1" ht="41.4">
      <c r="A85" s="17" t="s">
        <v>329</v>
      </c>
      <c r="B85" s="17" t="s">
        <v>57</v>
      </c>
      <c r="C85" s="17" t="s">
        <v>323</v>
      </c>
      <c r="D85" s="17" t="s">
        <v>724</v>
      </c>
      <c r="E85" s="17" t="s">
        <v>107</v>
      </c>
      <c r="F85" s="12">
        <v>46314</v>
      </c>
      <c r="G85" s="37">
        <v>46326</v>
      </c>
      <c r="H85" s="11" t="s">
        <v>47</v>
      </c>
      <c r="I85" s="19">
        <v>75</v>
      </c>
      <c r="J85" s="17" t="s">
        <v>725</v>
      </c>
      <c r="K85" s="11" t="s">
        <v>93</v>
      </c>
      <c r="L85" s="17" t="s">
        <v>50</v>
      </c>
      <c r="M85" s="17" t="str">
        <f t="shared" ca="1" si="2"/>
        <v>Completed</v>
      </c>
    </row>
    <row r="86" spans="1:13" s="34" customFormat="1" ht="69">
      <c r="A86" s="17" t="s">
        <v>330</v>
      </c>
      <c r="B86" s="17" t="s">
        <v>57</v>
      </c>
      <c r="C86" s="17" t="s">
        <v>331</v>
      </c>
      <c r="D86" s="17" t="s">
        <v>332</v>
      </c>
      <c r="E86" s="17" t="s">
        <v>726</v>
      </c>
      <c r="F86" s="12">
        <v>46315</v>
      </c>
      <c r="G86" s="37">
        <v>46327</v>
      </c>
      <c r="H86" s="11" t="s">
        <v>47</v>
      </c>
      <c r="I86" s="19">
        <v>100</v>
      </c>
      <c r="J86" s="11" t="s">
        <v>291</v>
      </c>
      <c r="K86" s="11" t="s">
        <v>93</v>
      </c>
      <c r="L86" s="17"/>
      <c r="M86" s="17" t="str">
        <f t="shared" ca="1" si="2"/>
        <v>Completed</v>
      </c>
    </row>
    <row r="87" spans="1:13" ht="41.4">
      <c r="A87" s="17" t="s">
        <v>333</v>
      </c>
      <c r="B87" s="17" t="s">
        <v>57</v>
      </c>
      <c r="C87" s="17" t="s">
        <v>331</v>
      </c>
      <c r="D87" s="17" t="s">
        <v>334</v>
      </c>
      <c r="E87" s="17" t="s">
        <v>727</v>
      </c>
      <c r="F87" s="12">
        <v>46316</v>
      </c>
      <c r="G87" s="37">
        <v>46328</v>
      </c>
      <c r="H87" s="11" t="s">
        <v>47</v>
      </c>
      <c r="I87" s="19">
        <v>100</v>
      </c>
      <c r="J87" s="11" t="s">
        <v>291</v>
      </c>
      <c r="K87" s="11" t="s">
        <v>93</v>
      </c>
      <c r="L87" s="17"/>
      <c r="M87" s="17" t="str">
        <f t="shared" ca="1" si="2"/>
        <v>Completed</v>
      </c>
    </row>
    <row r="88" spans="1:13" ht="41.4">
      <c r="A88" s="17" t="s">
        <v>335</v>
      </c>
      <c r="B88" s="17" t="s">
        <v>57</v>
      </c>
      <c r="C88" s="17" t="s">
        <v>331</v>
      </c>
      <c r="D88" s="17" t="s">
        <v>336</v>
      </c>
      <c r="E88" s="17" t="s">
        <v>107</v>
      </c>
      <c r="F88" s="12">
        <v>46317</v>
      </c>
      <c r="G88" s="37">
        <v>46329</v>
      </c>
      <c r="H88" s="11" t="s">
        <v>47</v>
      </c>
      <c r="I88" s="19">
        <v>100</v>
      </c>
      <c r="J88" s="30" t="s">
        <v>119</v>
      </c>
      <c r="K88" s="11" t="s">
        <v>93</v>
      </c>
      <c r="L88" s="17"/>
      <c r="M88" s="17" t="str">
        <f ca="1">IF(D88="","",IF(H88="Completed","Completed",IF(H88="Blocked","Blocked",IF(H88="Delayed","Delayed",IF(AND(G88&lt;&gt;"",G88&lt;TODAY(),H88&lt;&gt;"Completed"),"Overdue","On Track")))))</f>
        <v>Completed</v>
      </c>
    </row>
    <row r="89" spans="1:13" ht="41.4">
      <c r="A89" s="17" t="s">
        <v>337</v>
      </c>
      <c r="B89" s="17" t="s">
        <v>57</v>
      </c>
      <c r="C89" s="17"/>
      <c r="D89" s="17" t="s">
        <v>338</v>
      </c>
      <c r="E89" s="17" t="s">
        <v>107</v>
      </c>
      <c r="F89" s="12">
        <v>46318</v>
      </c>
      <c r="G89" s="37">
        <v>46330</v>
      </c>
      <c r="H89" s="11" t="s">
        <v>47</v>
      </c>
      <c r="I89" s="19">
        <v>100</v>
      </c>
      <c r="J89" s="17"/>
      <c r="K89" s="11" t="s">
        <v>93</v>
      </c>
      <c r="L89" s="17"/>
      <c r="M89" s="17" t="str">
        <f t="shared" ca="1" si="2"/>
        <v>Completed</v>
      </c>
    </row>
    <row r="90" spans="1:13">
      <c r="A90" s="17" t="s">
        <v>339</v>
      </c>
      <c r="B90" s="17" t="s">
        <v>57</v>
      </c>
      <c r="C90" s="17"/>
      <c r="D90" s="17" t="s">
        <v>340</v>
      </c>
      <c r="E90" s="17" t="s">
        <v>107</v>
      </c>
      <c r="F90" s="12">
        <v>46319</v>
      </c>
      <c r="G90" s="37">
        <v>46325</v>
      </c>
      <c r="H90" s="11" t="s">
        <v>47</v>
      </c>
      <c r="I90" s="19">
        <v>100</v>
      </c>
      <c r="J90" s="17"/>
      <c r="K90" s="11" t="s">
        <v>93</v>
      </c>
      <c r="L90" s="17"/>
      <c r="M90" s="17" t="str">
        <f t="shared" ca="1" si="2"/>
        <v>Completed</v>
      </c>
    </row>
  </sheetData>
  <mergeCells count="1">
    <mergeCell ref="A1:M1"/>
  </mergeCells>
  <conditionalFormatting sqref="B71">
    <cfRule type="iconSet" priority="198">
      <iconSet iconSet="3Arrows">
        <cfvo type="percent" val="0"/>
        <cfvo type="percent" val="33"/>
        <cfvo type="percent" val="67"/>
      </iconSet>
    </cfRule>
  </conditionalFormatting>
  <conditionalFormatting sqref="B72:E72 L72:M72">
    <cfRule type="iconSet" priority="153">
      <iconSet iconSet="3Arrows">
        <cfvo type="percent" val="0"/>
        <cfvo type="percent" val="33"/>
        <cfvo type="percent" val="67"/>
      </iconSet>
    </cfRule>
  </conditionalFormatting>
  <conditionalFormatting sqref="B73:E73 L73:M73">
    <cfRule type="iconSet" priority="161">
      <iconSet iconSet="3Arrows">
        <cfvo type="percent" val="0"/>
        <cfvo type="percent" val="33"/>
        <cfvo type="percent" val="67"/>
      </iconSet>
    </cfRule>
  </conditionalFormatting>
  <conditionalFormatting sqref="B74:E74 I74 L74:M74 G74">
    <cfRule type="iconSet" priority="169">
      <iconSet iconSet="3Arrows">
        <cfvo type="percent" val="0"/>
        <cfvo type="percent" val="33"/>
        <cfvo type="percent" val="67"/>
      </iconSet>
    </cfRule>
  </conditionalFormatting>
  <conditionalFormatting sqref="B75:E75 I75 L75:M75 G75:G89">
    <cfRule type="iconSet" priority="177">
      <iconSet iconSet="3Arrows">
        <cfvo type="percent" val="0"/>
        <cfvo type="percent" val="33"/>
        <cfvo type="percent" val="67"/>
      </iconSet>
    </cfRule>
  </conditionalFormatting>
  <conditionalFormatting sqref="B76:E76 I76 L76:M76">
    <cfRule type="iconSet" priority="185">
      <iconSet iconSet="3Arrows">
        <cfvo type="percent" val="0"/>
        <cfvo type="percent" val="33"/>
        <cfvo type="percent" val="67"/>
      </iconSet>
    </cfRule>
  </conditionalFormatting>
  <conditionalFormatting sqref="B77:E77 I77 L77:M77">
    <cfRule type="iconSet" priority="145">
      <iconSet iconSet="3Arrows">
        <cfvo type="percent" val="0"/>
        <cfvo type="percent" val="33"/>
        <cfvo type="percent" val="67"/>
      </iconSet>
    </cfRule>
  </conditionalFormatting>
  <conditionalFormatting sqref="B78:E78 I78 L78:M78">
    <cfRule type="iconSet" priority="137">
      <iconSet iconSet="3Arrows">
        <cfvo type="percent" val="0"/>
        <cfvo type="percent" val="33"/>
        <cfvo type="percent" val="67"/>
      </iconSet>
    </cfRule>
  </conditionalFormatting>
  <conditionalFormatting sqref="B79:E79 I79 L79:M79">
    <cfRule type="iconSet" priority="129">
      <iconSet iconSet="3Arrows">
        <cfvo type="percent" val="0"/>
        <cfvo type="percent" val="33"/>
        <cfvo type="percent" val="67"/>
      </iconSet>
    </cfRule>
  </conditionalFormatting>
  <conditionalFormatting sqref="B80:E80 I80 L80:M80">
    <cfRule type="iconSet" priority="121">
      <iconSet iconSet="3Arrows">
        <cfvo type="percent" val="0"/>
        <cfvo type="percent" val="33"/>
        <cfvo type="percent" val="67"/>
      </iconSet>
    </cfRule>
  </conditionalFormatting>
  <conditionalFormatting sqref="B81:E81 I81:J81 L81:M81">
    <cfRule type="iconSet" priority="113">
      <iconSet iconSet="3Arrows">
        <cfvo type="percent" val="0"/>
        <cfvo type="percent" val="33"/>
        <cfvo type="percent" val="67"/>
      </iconSet>
    </cfRule>
  </conditionalFormatting>
  <conditionalFormatting sqref="B82:E82 I82:J82 L82:M82">
    <cfRule type="iconSet" priority="105">
      <iconSet iconSet="3Arrows">
        <cfvo type="percent" val="0"/>
        <cfvo type="percent" val="33"/>
        <cfvo type="percent" val="67"/>
      </iconSet>
    </cfRule>
  </conditionalFormatting>
  <conditionalFormatting sqref="B83:E83 I83 L83:M83">
    <cfRule type="iconSet" priority="97">
      <iconSet iconSet="3Arrows">
        <cfvo type="percent" val="0"/>
        <cfvo type="percent" val="33"/>
        <cfvo type="percent" val="67"/>
      </iconSet>
    </cfRule>
  </conditionalFormatting>
  <conditionalFormatting sqref="B84:E84 I84:J84 L84:M84">
    <cfRule type="iconSet" priority="89">
      <iconSet iconSet="3Arrows">
        <cfvo type="percent" val="0"/>
        <cfvo type="percent" val="33"/>
        <cfvo type="percent" val="67"/>
      </iconSet>
    </cfRule>
  </conditionalFormatting>
  <conditionalFormatting sqref="B85:E85 I85:J85 L85:M85">
    <cfRule type="iconSet" priority="81">
      <iconSet iconSet="3Arrows">
        <cfvo type="percent" val="0"/>
        <cfvo type="percent" val="33"/>
        <cfvo type="percent" val="67"/>
      </iconSet>
    </cfRule>
  </conditionalFormatting>
  <conditionalFormatting sqref="B86:E86 I86 L86:M86">
    <cfRule type="iconSet" priority="73">
      <iconSet iconSet="3Arrows">
        <cfvo type="percent" val="0"/>
        <cfvo type="percent" val="33"/>
        <cfvo type="percent" val="67"/>
      </iconSet>
    </cfRule>
  </conditionalFormatting>
  <conditionalFormatting sqref="B87:E87 L87:M87 M88:M90 I87:I90">
    <cfRule type="iconSet" priority="65">
      <iconSet iconSet="3Arrows">
        <cfvo type="percent" val="0"/>
        <cfvo type="percent" val="33"/>
        <cfvo type="percent" val="67"/>
      </iconSet>
    </cfRule>
  </conditionalFormatting>
  <conditionalFormatting sqref="B3:M37 B38:B40 F41:J41 G53:I53 F45:J48 F44 H44:J44 F50:J50 G49:J49 F51:I52 F54:I58 F38:I40 F43:J43 F42:I42 K38:M58 H38:I58 B59:M70 D71:M71">
    <cfRule type="iconSet" priority="476">
      <iconSet iconSet="3Arrows">
        <cfvo type="percent" val="0"/>
        <cfvo type="percent" val="33"/>
        <cfvo type="percent" val="67"/>
      </iconSet>
    </cfRule>
  </conditionalFormatting>
  <conditionalFormatting sqref="C71">
    <cfRule type="iconSet" priority="197">
      <iconSet iconSet="3Arrows">
        <cfvo type="percent" val="0"/>
        <cfvo type="percent" val="33"/>
        <cfvo type="percent" val="67"/>
      </iconSet>
    </cfRule>
  </conditionalFormatting>
  <conditionalFormatting sqref="F72:F73">
    <cfRule type="iconSet" priority="23">
      <iconSet iconSet="3Arrows">
        <cfvo type="percent" val="0"/>
        <cfvo type="percent" val="33"/>
        <cfvo type="percent" val="67"/>
      </iconSet>
    </cfRule>
  </conditionalFormatting>
  <conditionalFormatting sqref="F74:F90">
    <cfRule type="iconSet" priority="20">
      <iconSet iconSet="3Arrows">
        <cfvo type="percent" val="0"/>
        <cfvo type="percent" val="33"/>
        <cfvo type="percent" val="67"/>
      </iconSet>
    </cfRule>
  </conditionalFormatting>
  <conditionalFormatting sqref="G72">
    <cfRule type="iconSet" priority="22">
      <iconSet iconSet="3Arrows">
        <cfvo type="percent" val="0"/>
        <cfvo type="percent" val="33"/>
        <cfvo type="percent" val="67"/>
      </iconSet>
    </cfRule>
  </conditionalFormatting>
  <conditionalFormatting sqref="G73">
    <cfRule type="iconSet" priority="21">
      <iconSet iconSet="3Arrows">
        <cfvo type="percent" val="0"/>
        <cfvo type="percent" val="33"/>
        <cfvo type="percent" val="67"/>
      </iconSet>
    </cfRule>
  </conditionalFormatting>
  <conditionalFormatting sqref="H3:H90">
    <cfRule type="expression" dxfId="15" priority="203">
      <formula>H3="Blocked"</formula>
    </cfRule>
    <cfRule type="expression" dxfId="14" priority="202">
      <formula>H3="Delayed"</formula>
    </cfRule>
    <cfRule type="expression" dxfId="13" priority="201">
      <formula>H3="In Progress"</formula>
    </cfRule>
    <cfRule type="expression" dxfId="12" priority="200">
      <formula>H3="Completed"</formula>
    </cfRule>
  </conditionalFormatting>
  <conditionalFormatting sqref="H72">
    <cfRule type="iconSet" priority="59">
      <iconSet iconSet="3Arrows">
        <cfvo type="percent" val="0"/>
        <cfvo type="percent" val="33"/>
        <cfvo type="percent" val="67"/>
      </iconSet>
    </cfRule>
  </conditionalFormatting>
  <conditionalFormatting sqref="H73">
    <cfRule type="iconSet" priority="58">
      <iconSet iconSet="3Arrows">
        <cfvo type="percent" val="0"/>
        <cfvo type="percent" val="33"/>
        <cfvo type="percent" val="67"/>
      </iconSet>
    </cfRule>
  </conditionalFormatting>
  <conditionalFormatting sqref="H74">
    <cfRule type="iconSet" priority="57">
      <iconSet iconSet="3Arrows">
        <cfvo type="percent" val="0"/>
        <cfvo type="percent" val="33"/>
        <cfvo type="percent" val="67"/>
      </iconSet>
    </cfRule>
  </conditionalFormatting>
  <conditionalFormatting sqref="H75">
    <cfRule type="iconSet" priority="56">
      <iconSet iconSet="3Arrows">
        <cfvo type="percent" val="0"/>
        <cfvo type="percent" val="33"/>
        <cfvo type="percent" val="67"/>
      </iconSet>
    </cfRule>
  </conditionalFormatting>
  <conditionalFormatting sqref="H76">
    <cfRule type="iconSet" priority="55">
      <iconSet iconSet="3Arrows">
        <cfvo type="percent" val="0"/>
        <cfvo type="percent" val="33"/>
        <cfvo type="percent" val="67"/>
      </iconSet>
    </cfRule>
  </conditionalFormatting>
  <conditionalFormatting sqref="H77">
    <cfRule type="iconSet" priority="54">
      <iconSet iconSet="3Arrows">
        <cfvo type="percent" val="0"/>
        <cfvo type="percent" val="33"/>
        <cfvo type="percent" val="67"/>
      </iconSet>
    </cfRule>
  </conditionalFormatting>
  <conditionalFormatting sqref="H78">
    <cfRule type="iconSet" priority="53">
      <iconSet iconSet="3Arrows">
        <cfvo type="percent" val="0"/>
        <cfvo type="percent" val="33"/>
        <cfvo type="percent" val="67"/>
      </iconSet>
    </cfRule>
  </conditionalFormatting>
  <conditionalFormatting sqref="H79">
    <cfRule type="iconSet" priority="52">
      <iconSet iconSet="3Arrows">
        <cfvo type="percent" val="0"/>
        <cfvo type="percent" val="33"/>
        <cfvo type="percent" val="67"/>
      </iconSet>
    </cfRule>
  </conditionalFormatting>
  <conditionalFormatting sqref="H80">
    <cfRule type="iconSet" priority="51">
      <iconSet iconSet="3Arrows">
        <cfvo type="percent" val="0"/>
        <cfvo type="percent" val="33"/>
        <cfvo type="percent" val="67"/>
      </iconSet>
    </cfRule>
  </conditionalFormatting>
  <conditionalFormatting sqref="H81">
    <cfRule type="iconSet" priority="50">
      <iconSet iconSet="3Arrows">
        <cfvo type="percent" val="0"/>
        <cfvo type="percent" val="33"/>
        <cfvo type="percent" val="67"/>
      </iconSet>
    </cfRule>
  </conditionalFormatting>
  <conditionalFormatting sqref="H82">
    <cfRule type="iconSet" priority="49">
      <iconSet iconSet="3Arrows">
        <cfvo type="percent" val="0"/>
        <cfvo type="percent" val="33"/>
        <cfvo type="percent" val="67"/>
      </iconSet>
    </cfRule>
  </conditionalFormatting>
  <conditionalFormatting sqref="H83">
    <cfRule type="iconSet" priority="48">
      <iconSet iconSet="3Arrows">
        <cfvo type="percent" val="0"/>
        <cfvo type="percent" val="33"/>
        <cfvo type="percent" val="67"/>
      </iconSet>
    </cfRule>
  </conditionalFormatting>
  <conditionalFormatting sqref="H84">
    <cfRule type="iconSet" priority="47">
      <iconSet iconSet="3Arrows">
        <cfvo type="percent" val="0"/>
        <cfvo type="percent" val="33"/>
        <cfvo type="percent" val="67"/>
      </iconSet>
    </cfRule>
  </conditionalFormatting>
  <conditionalFormatting sqref="H85">
    <cfRule type="iconSet" priority="46">
      <iconSet iconSet="3Arrows">
        <cfvo type="percent" val="0"/>
        <cfvo type="percent" val="33"/>
        <cfvo type="percent" val="67"/>
      </iconSet>
    </cfRule>
  </conditionalFormatting>
  <conditionalFormatting sqref="H86">
    <cfRule type="iconSet" priority="45">
      <iconSet iconSet="3Arrows">
        <cfvo type="percent" val="0"/>
        <cfvo type="percent" val="33"/>
        <cfvo type="percent" val="67"/>
      </iconSet>
    </cfRule>
  </conditionalFormatting>
  <conditionalFormatting sqref="H87:H90">
    <cfRule type="iconSet" priority="44">
      <iconSet iconSet="3Arrows">
        <cfvo type="percent" val="0"/>
        <cfvo type="percent" val="33"/>
        <cfvo type="percent" val="67"/>
      </iconSet>
    </cfRule>
  </conditionalFormatting>
  <conditionalFormatting sqref="I3:I73">
    <cfRule type="dataBar" priority="496">
      <dataBar>
        <cfvo type="min"/>
        <cfvo type="max"/>
        <color rgb="FF1F5A94"/>
      </dataBar>
      <extLst>
        <ext xmlns:x14="http://schemas.microsoft.com/office/spreadsheetml/2009/9/main" uri="{B025F937-C7B1-47D3-B67F-A62EFF666E3E}">
          <x14:id>{47F2417F-5A51-25CB-3D69-48DA80333B65}</x14:id>
        </ext>
      </extLst>
    </cfRule>
    <cfRule type="dataBar" priority="494">
      <dataBar>
        <cfvo type="min"/>
        <cfvo type="max"/>
        <color rgb="FF1F5A94"/>
      </dataBar>
    </cfRule>
    <cfRule type="dataBar" priority="495">
      <dataBar>
        <cfvo type="min"/>
        <cfvo type="max"/>
        <color rgb="FF1F5A94"/>
      </dataBar>
    </cfRule>
  </conditionalFormatting>
  <conditionalFormatting sqref="I72">
    <cfRule type="iconSet" priority="43">
      <iconSet iconSet="3Arrows">
        <cfvo type="percent" val="0"/>
        <cfvo type="percent" val="33"/>
        <cfvo type="percent" val="67"/>
      </iconSet>
    </cfRule>
  </conditionalFormatting>
  <conditionalFormatting sqref="I73">
    <cfRule type="iconSet" priority="42">
      <iconSet iconSet="3Arrows">
        <cfvo type="percent" val="0"/>
        <cfvo type="percent" val="33"/>
        <cfvo type="percent" val="67"/>
      </iconSet>
    </cfRule>
  </conditionalFormatting>
  <conditionalFormatting sqref="I74">
    <cfRule type="dataBar" priority="170">
      <dataBar>
        <cfvo type="min"/>
        <cfvo type="max"/>
        <color rgb="FF1F5A94"/>
      </dataBar>
    </cfRule>
    <cfRule type="dataBar" priority="171">
      <dataBar>
        <cfvo type="min"/>
        <cfvo type="max"/>
        <color rgb="FF1F5A94"/>
      </dataBar>
    </cfRule>
  </conditionalFormatting>
  <conditionalFormatting sqref="I75">
    <cfRule type="dataBar" priority="178">
      <dataBar>
        <cfvo type="min"/>
        <cfvo type="max"/>
        <color rgb="FF1F5A94"/>
      </dataBar>
    </cfRule>
    <cfRule type="dataBar" priority="179">
      <dataBar>
        <cfvo type="min"/>
        <cfvo type="max"/>
        <color rgb="FF1F5A94"/>
      </dataBar>
    </cfRule>
  </conditionalFormatting>
  <conditionalFormatting sqref="I76">
    <cfRule type="dataBar" priority="186">
      <dataBar>
        <cfvo type="min"/>
        <cfvo type="max"/>
        <color rgb="FF1F5A94"/>
      </dataBar>
    </cfRule>
    <cfRule type="dataBar" priority="187">
      <dataBar>
        <cfvo type="min"/>
        <cfvo type="max"/>
        <color rgb="FF1F5A94"/>
      </dataBar>
    </cfRule>
  </conditionalFormatting>
  <conditionalFormatting sqref="I77">
    <cfRule type="dataBar" priority="147">
      <dataBar>
        <cfvo type="min"/>
        <cfvo type="max"/>
        <color rgb="FF1F5A94"/>
      </dataBar>
    </cfRule>
    <cfRule type="dataBar" priority="146">
      <dataBar>
        <cfvo type="min"/>
        <cfvo type="max"/>
        <color rgb="FF1F5A94"/>
      </dataBar>
    </cfRule>
  </conditionalFormatting>
  <conditionalFormatting sqref="I78">
    <cfRule type="dataBar" priority="138">
      <dataBar>
        <cfvo type="min"/>
        <cfvo type="max"/>
        <color rgb="FF1F5A94"/>
      </dataBar>
    </cfRule>
    <cfRule type="dataBar" priority="139">
      <dataBar>
        <cfvo type="min"/>
        <cfvo type="max"/>
        <color rgb="FF1F5A94"/>
      </dataBar>
    </cfRule>
  </conditionalFormatting>
  <conditionalFormatting sqref="I79">
    <cfRule type="dataBar" priority="130">
      <dataBar>
        <cfvo type="min"/>
        <cfvo type="max"/>
        <color rgb="FF1F5A94"/>
      </dataBar>
    </cfRule>
    <cfRule type="dataBar" priority="131">
      <dataBar>
        <cfvo type="min"/>
        <cfvo type="max"/>
        <color rgb="FF1F5A94"/>
      </dataBar>
    </cfRule>
  </conditionalFormatting>
  <conditionalFormatting sqref="I80">
    <cfRule type="dataBar" priority="122">
      <dataBar>
        <cfvo type="min"/>
        <cfvo type="max"/>
        <color rgb="FF1F5A94"/>
      </dataBar>
    </cfRule>
    <cfRule type="dataBar" priority="123">
      <dataBar>
        <cfvo type="min"/>
        <cfvo type="max"/>
        <color rgb="FF1F5A94"/>
      </dataBar>
    </cfRule>
  </conditionalFormatting>
  <conditionalFormatting sqref="I81">
    <cfRule type="dataBar" priority="114">
      <dataBar>
        <cfvo type="min"/>
        <cfvo type="max"/>
        <color rgb="FF1F5A94"/>
      </dataBar>
    </cfRule>
    <cfRule type="dataBar" priority="115">
      <dataBar>
        <cfvo type="min"/>
        <cfvo type="max"/>
        <color rgb="FF1F5A94"/>
      </dataBar>
    </cfRule>
  </conditionalFormatting>
  <conditionalFormatting sqref="I82">
    <cfRule type="dataBar" priority="106">
      <dataBar>
        <cfvo type="min"/>
        <cfvo type="max"/>
        <color rgb="FF1F5A94"/>
      </dataBar>
    </cfRule>
    <cfRule type="dataBar" priority="107">
      <dataBar>
        <cfvo type="min"/>
        <cfvo type="max"/>
        <color rgb="FF1F5A94"/>
      </dataBar>
    </cfRule>
  </conditionalFormatting>
  <conditionalFormatting sqref="I83">
    <cfRule type="dataBar" priority="99">
      <dataBar>
        <cfvo type="min"/>
        <cfvo type="max"/>
        <color rgb="FF1F5A94"/>
      </dataBar>
    </cfRule>
    <cfRule type="dataBar" priority="98">
      <dataBar>
        <cfvo type="min"/>
        <cfvo type="max"/>
        <color rgb="FF1F5A94"/>
      </dataBar>
    </cfRule>
  </conditionalFormatting>
  <conditionalFormatting sqref="I84">
    <cfRule type="dataBar" priority="90">
      <dataBar>
        <cfvo type="min"/>
        <cfvo type="max"/>
        <color rgb="FF1F5A94"/>
      </dataBar>
    </cfRule>
    <cfRule type="dataBar" priority="91">
      <dataBar>
        <cfvo type="min"/>
        <cfvo type="max"/>
        <color rgb="FF1F5A94"/>
      </dataBar>
    </cfRule>
  </conditionalFormatting>
  <conditionalFormatting sqref="I85">
    <cfRule type="dataBar" priority="83">
      <dataBar>
        <cfvo type="min"/>
        <cfvo type="max"/>
        <color rgb="FF1F5A94"/>
      </dataBar>
    </cfRule>
    <cfRule type="dataBar" priority="82">
      <dataBar>
        <cfvo type="min"/>
        <cfvo type="max"/>
        <color rgb="FF1F5A94"/>
      </dataBar>
    </cfRule>
  </conditionalFormatting>
  <conditionalFormatting sqref="I86">
    <cfRule type="dataBar" priority="75">
      <dataBar>
        <cfvo type="min"/>
        <cfvo type="max"/>
        <color rgb="FF1F5A94"/>
      </dataBar>
    </cfRule>
    <cfRule type="dataBar" priority="74">
      <dataBar>
        <cfvo type="min"/>
        <cfvo type="max"/>
        <color rgb="FF1F5A94"/>
      </dataBar>
    </cfRule>
  </conditionalFormatting>
  <conditionalFormatting sqref="I87:I90">
    <cfRule type="dataBar" priority="67">
      <dataBar>
        <cfvo type="min"/>
        <cfvo type="max"/>
        <color rgb="FF1F5A94"/>
      </dataBar>
    </cfRule>
    <cfRule type="dataBar" priority="66">
      <dataBar>
        <cfvo type="min"/>
        <cfvo type="max"/>
        <color rgb="FF1F5A94"/>
      </dataBar>
    </cfRule>
  </conditionalFormatting>
  <conditionalFormatting sqref="J72">
    <cfRule type="iconSet" priority="4">
      <iconSet iconSet="3Arrows">
        <cfvo type="percent" val="0"/>
        <cfvo type="percent" val="33"/>
        <cfvo type="percent" val="67"/>
      </iconSet>
    </cfRule>
  </conditionalFormatting>
  <conditionalFormatting sqref="J73">
    <cfRule type="iconSet" priority="5">
      <iconSet iconSet="3Arrows">
        <cfvo type="percent" val="0"/>
        <cfvo type="percent" val="33"/>
        <cfvo type="percent" val="67"/>
      </iconSet>
    </cfRule>
  </conditionalFormatting>
  <conditionalFormatting sqref="J74">
    <cfRule type="iconSet" priority="6">
      <iconSet iconSet="3Arrows">
        <cfvo type="percent" val="0"/>
        <cfvo type="percent" val="33"/>
        <cfvo type="percent" val="67"/>
      </iconSet>
    </cfRule>
  </conditionalFormatting>
  <conditionalFormatting sqref="J75">
    <cfRule type="iconSet" priority="7">
      <iconSet iconSet="3Arrows">
        <cfvo type="percent" val="0"/>
        <cfvo type="percent" val="33"/>
        <cfvo type="percent" val="67"/>
      </iconSet>
    </cfRule>
  </conditionalFormatting>
  <conditionalFormatting sqref="J76">
    <cfRule type="iconSet" priority="8">
      <iconSet iconSet="3Arrows">
        <cfvo type="percent" val="0"/>
        <cfvo type="percent" val="33"/>
        <cfvo type="percent" val="67"/>
      </iconSet>
    </cfRule>
  </conditionalFormatting>
  <conditionalFormatting sqref="J77">
    <cfRule type="iconSet" priority="9">
      <iconSet iconSet="3Arrows">
        <cfvo type="percent" val="0"/>
        <cfvo type="percent" val="33"/>
        <cfvo type="percent" val="67"/>
      </iconSet>
    </cfRule>
  </conditionalFormatting>
  <conditionalFormatting sqref="J78">
    <cfRule type="iconSet" priority="10">
      <iconSet iconSet="3Arrows">
        <cfvo type="percent" val="0"/>
        <cfvo type="percent" val="33"/>
        <cfvo type="percent" val="67"/>
      </iconSet>
    </cfRule>
  </conditionalFormatting>
  <conditionalFormatting sqref="J79">
    <cfRule type="iconSet" priority="11">
      <iconSet iconSet="3Arrows">
        <cfvo type="percent" val="0"/>
        <cfvo type="percent" val="33"/>
        <cfvo type="percent" val="67"/>
      </iconSet>
    </cfRule>
  </conditionalFormatting>
  <conditionalFormatting sqref="J80">
    <cfRule type="iconSet" priority="12">
      <iconSet iconSet="3Arrows">
        <cfvo type="percent" val="0"/>
        <cfvo type="percent" val="33"/>
        <cfvo type="percent" val="67"/>
      </iconSet>
    </cfRule>
  </conditionalFormatting>
  <conditionalFormatting sqref="J83">
    <cfRule type="iconSet" priority="3">
      <iconSet iconSet="3Arrows">
        <cfvo type="percent" val="0"/>
        <cfvo type="percent" val="33"/>
        <cfvo type="percent" val="67"/>
      </iconSet>
    </cfRule>
  </conditionalFormatting>
  <conditionalFormatting sqref="J86">
    <cfRule type="iconSet" priority="26">
      <iconSet iconSet="3Arrows">
        <cfvo type="percent" val="0"/>
        <cfvo type="percent" val="33"/>
        <cfvo type="percent" val="67"/>
      </iconSet>
    </cfRule>
  </conditionalFormatting>
  <conditionalFormatting sqref="J87">
    <cfRule type="iconSet" priority="25">
      <iconSet iconSet="3Arrows">
        <cfvo type="percent" val="0"/>
        <cfvo type="percent" val="33"/>
        <cfvo type="percent" val="67"/>
      </iconSet>
    </cfRule>
  </conditionalFormatting>
  <conditionalFormatting sqref="J88">
    <cfRule type="iconSet" priority="1">
      <iconSet iconSet="3Arrows">
        <cfvo type="percent" val="0"/>
        <cfvo type="percent" val="33"/>
        <cfvo type="percent" val="67"/>
      </iconSet>
    </cfRule>
  </conditionalFormatting>
  <conditionalFormatting sqref="K72">
    <cfRule type="iconSet" priority="41">
      <iconSet iconSet="3Arrows">
        <cfvo type="percent" val="0"/>
        <cfvo type="percent" val="33"/>
        <cfvo type="percent" val="67"/>
      </iconSet>
    </cfRule>
  </conditionalFormatting>
  <conditionalFormatting sqref="K73">
    <cfRule type="iconSet" priority="40">
      <iconSet iconSet="3Arrows">
        <cfvo type="percent" val="0"/>
        <cfvo type="percent" val="33"/>
        <cfvo type="percent" val="67"/>
      </iconSet>
    </cfRule>
  </conditionalFormatting>
  <conditionalFormatting sqref="K74">
    <cfRule type="iconSet" priority="39">
      <iconSet iconSet="3Arrows">
        <cfvo type="percent" val="0"/>
        <cfvo type="percent" val="33"/>
        <cfvo type="percent" val="67"/>
      </iconSet>
    </cfRule>
  </conditionalFormatting>
  <conditionalFormatting sqref="K75">
    <cfRule type="iconSet" priority="38">
      <iconSet iconSet="3Arrows">
        <cfvo type="percent" val="0"/>
        <cfvo type="percent" val="33"/>
        <cfvo type="percent" val="67"/>
      </iconSet>
    </cfRule>
  </conditionalFormatting>
  <conditionalFormatting sqref="K76">
    <cfRule type="iconSet" priority="37">
      <iconSet iconSet="3Arrows">
        <cfvo type="percent" val="0"/>
        <cfvo type="percent" val="33"/>
        <cfvo type="percent" val="67"/>
      </iconSet>
    </cfRule>
  </conditionalFormatting>
  <conditionalFormatting sqref="K77">
    <cfRule type="iconSet" priority="36">
      <iconSet iconSet="3Arrows">
        <cfvo type="percent" val="0"/>
        <cfvo type="percent" val="33"/>
        <cfvo type="percent" val="67"/>
      </iconSet>
    </cfRule>
  </conditionalFormatting>
  <conditionalFormatting sqref="K78">
    <cfRule type="iconSet" priority="35">
      <iconSet iconSet="3Arrows">
        <cfvo type="percent" val="0"/>
        <cfvo type="percent" val="33"/>
        <cfvo type="percent" val="67"/>
      </iconSet>
    </cfRule>
  </conditionalFormatting>
  <conditionalFormatting sqref="K79">
    <cfRule type="iconSet" priority="34">
      <iconSet iconSet="3Arrows">
        <cfvo type="percent" val="0"/>
        <cfvo type="percent" val="33"/>
        <cfvo type="percent" val="67"/>
      </iconSet>
    </cfRule>
  </conditionalFormatting>
  <conditionalFormatting sqref="K80">
    <cfRule type="iconSet" priority="33">
      <iconSet iconSet="3Arrows">
        <cfvo type="percent" val="0"/>
        <cfvo type="percent" val="33"/>
        <cfvo type="percent" val="67"/>
      </iconSet>
    </cfRule>
  </conditionalFormatting>
  <conditionalFormatting sqref="K81">
    <cfRule type="iconSet" priority="32">
      <iconSet iconSet="3Arrows">
        <cfvo type="percent" val="0"/>
        <cfvo type="percent" val="33"/>
        <cfvo type="percent" val="67"/>
      </iconSet>
    </cfRule>
  </conditionalFormatting>
  <conditionalFormatting sqref="K82">
    <cfRule type="iconSet" priority="31">
      <iconSet iconSet="3Arrows">
        <cfvo type="percent" val="0"/>
        <cfvo type="percent" val="33"/>
        <cfvo type="percent" val="67"/>
      </iconSet>
    </cfRule>
  </conditionalFormatting>
  <conditionalFormatting sqref="K83">
    <cfRule type="iconSet" priority="30">
      <iconSet iconSet="3Arrows">
        <cfvo type="percent" val="0"/>
        <cfvo type="percent" val="33"/>
        <cfvo type="percent" val="67"/>
      </iconSet>
    </cfRule>
  </conditionalFormatting>
  <conditionalFormatting sqref="K84">
    <cfRule type="iconSet" priority="29">
      <iconSet iconSet="3Arrows">
        <cfvo type="percent" val="0"/>
        <cfvo type="percent" val="33"/>
        <cfvo type="percent" val="67"/>
      </iconSet>
    </cfRule>
  </conditionalFormatting>
  <conditionalFormatting sqref="K85">
    <cfRule type="iconSet" priority="28">
      <iconSet iconSet="3Arrows">
        <cfvo type="percent" val="0"/>
        <cfvo type="percent" val="33"/>
        <cfvo type="percent" val="67"/>
      </iconSet>
    </cfRule>
  </conditionalFormatting>
  <conditionalFormatting sqref="K86:K90">
    <cfRule type="iconSet" priority="27">
      <iconSet iconSet="3Arrows">
        <cfvo type="percent" val="0"/>
        <cfvo type="percent" val="33"/>
        <cfvo type="percent" val="67"/>
      </iconSet>
    </cfRule>
  </conditionalFormatting>
  <conditionalFormatting sqref="M3:M90">
    <cfRule type="expression" dxfId="11" priority="64">
      <formula>M3="Overdue"</formula>
    </cfRule>
  </conditionalFormatting>
  <dataValidations count="4">
    <dataValidation type="list" sqref="B3:B40 B59:B87" xr:uid="{00000000-0002-0000-0200-000000000000}">
      <formula1>"Unit 1 / Phase 1,Phase 2,Phase 3,Final"</formula1>
    </dataValidation>
    <dataValidation type="list" sqref="H3:H90" xr:uid="{00000000-0002-0000-0200-000001000000}">
      <formula1>"Not Started,In Progress,Completed,Delayed,Blocked"</formula1>
    </dataValidation>
    <dataValidation type="list" sqref="I3:I90" xr:uid="{00000000-0002-0000-0200-000002000000}">
      <formula1>"0,25,50,75,100"</formula1>
    </dataValidation>
    <dataValidation type="list" sqref="K3:K90" xr:uid="{00000000-0002-0000-0200-000003000000}">
      <formula1>"Yes,No"</formula1>
    </dataValidation>
  </dataValidations>
  <hyperlinks>
    <hyperlink ref="J10" r:id="rId1" xr:uid="{00000000-0004-0000-0200-000000000000}"/>
    <hyperlink ref="J33" r:id="rId2" xr:uid="{00000000-0004-0000-0200-000001000000}"/>
    <hyperlink ref="D38" r:id="rId3" xr:uid="{00000000-0004-0000-0200-000002000000}"/>
    <hyperlink ref="D50" r:id="rId4" xr:uid="{00000000-0004-0000-0200-000003000000}"/>
    <hyperlink ref="D56" r:id="rId5" xr:uid="{00000000-0004-0000-0200-000004000000}"/>
    <hyperlink ref="J56" r:id="rId6" xr:uid="{00000000-0004-0000-0200-000005000000}"/>
    <hyperlink ref="D58" r:id="rId7" xr:uid="{00000000-0004-0000-0200-000006000000}"/>
    <hyperlink ref="J58" r:id="rId8" xr:uid="{00000000-0004-0000-0200-000007000000}"/>
    <hyperlink ref="J66" r:id="rId9" xr:uid="{00000000-0004-0000-0200-000008000000}"/>
    <hyperlink ref="J72" r:id="rId10" xr:uid="{00000000-0004-0000-0200-000009000000}"/>
    <hyperlink ref="J73" r:id="rId11" xr:uid="{00000000-0004-0000-0200-00000A000000}"/>
    <hyperlink ref="J74" r:id="rId12" xr:uid="{00000000-0004-0000-0200-00000B000000}"/>
    <hyperlink ref="J75" r:id="rId13" xr:uid="{00000000-0004-0000-0200-00000C000000}"/>
    <hyperlink ref="J76" r:id="rId14" xr:uid="{00000000-0004-0000-0200-00000D000000}"/>
    <hyperlink ref="J77" r:id="rId15" xr:uid="{00000000-0004-0000-0200-00000E000000}"/>
    <hyperlink ref="J78" r:id="rId16" xr:uid="{00000000-0004-0000-0200-00000F000000}"/>
    <hyperlink ref="J79" r:id="rId17" xr:uid="{00000000-0004-0000-0200-000010000000}"/>
    <hyperlink ref="J80" r:id="rId18" xr:uid="{00000000-0004-0000-0200-000011000000}"/>
    <hyperlink ref="J88" r:id="rId19" xr:uid="{00000000-0004-0000-0200-000012000000}"/>
  </hyperlinks>
  <pageMargins left="0.7" right="0.7" top="0.75" bottom="0.75" header="0.3" footer="0.3"/>
  <tableParts count="1">
    <tablePart r:id="rId20"/>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I3:I73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37"/>
  <sheetViews>
    <sheetView topLeftCell="A66" zoomScale="71" workbookViewId="0">
      <selection activeCell="I90" sqref="I90"/>
    </sheetView>
  </sheetViews>
  <sheetFormatPr defaultRowHeight="13.8"/>
  <cols>
    <col min="1" max="1" width="24" customWidth="1"/>
    <col min="2" max="2" width="16" customWidth="1"/>
    <col min="3" max="3" width="19" customWidth="1"/>
    <col min="4" max="4" width="28.09765625" customWidth="1"/>
    <col min="5" max="5" width="59.59765625"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24" customHeight="1">
      <c r="A1" s="43" t="s">
        <v>341</v>
      </c>
      <c r="B1" s="43"/>
      <c r="C1" s="43"/>
      <c r="D1" s="43"/>
      <c r="E1" s="43"/>
      <c r="F1" s="43"/>
      <c r="G1" s="43"/>
      <c r="H1" s="43"/>
      <c r="I1" s="43"/>
      <c r="J1" s="43"/>
      <c r="K1" s="43"/>
      <c r="L1" s="43"/>
    </row>
    <row r="2" spans="1:12" ht="23.4" customHeight="1">
      <c r="A2" s="25" t="s">
        <v>342</v>
      </c>
      <c r="B2" s="25" t="s">
        <v>343</v>
      </c>
      <c r="C2" s="25" t="s">
        <v>76</v>
      </c>
      <c r="D2" s="25" t="s">
        <v>77</v>
      </c>
      <c r="E2" s="25" t="s">
        <v>344</v>
      </c>
      <c r="F2" s="25" t="s">
        <v>345</v>
      </c>
      <c r="G2" s="25" t="s">
        <v>346</v>
      </c>
      <c r="H2" s="25" t="s">
        <v>347</v>
      </c>
      <c r="I2" s="25" t="s">
        <v>84</v>
      </c>
      <c r="J2" s="25" t="s">
        <v>85</v>
      </c>
      <c r="K2" s="25" t="s">
        <v>348</v>
      </c>
      <c r="L2" s="25" t="s">
        <v>349</v>
      </c>
    </row>
    <row r="3" spans="1:12" ht="25.2" customHeight="1">
      <c r="A3" s="17" t="s">
        <v>54</v>
      </c>
      <c r="B3" s="11">
        <v>221050663</v>
      </c>
      <c r="C3" s="11" t="s">
        <v>32</v>
      </c>
      <c r="D3" s="26" t="s">
        <v>90</v>
      </c>
      <c r="E3" s="26" t="s">
        <v>350</v>
      </c>
      <c r="F3" s="26" t="s">
        <v>351</v>
      </c>
      <c r="G3" s="28">
        <v>46252</v>
      </c>
      <c r="H3" s="21">
        <v>3</v>
      </c>
      <c r="I3" s="11" t="s">
        <v>352</v>
      </c>
      <c r="J3" s="11" t="s">
        <v>93</v>
      </c>
      <c r="K3" s="12" t="s">
        <v>353</v>
      </c>
      <c r="L3" s="17"/>
    </row>
    <row r="4" spans="1:12" ht="41.4">
      <c r="A4" s="17"/>
      <c r="B4" s="11"/>
      <c r="C4" s="11" t="s">
        <v>32</v>
      </c>
      <c r="D4" s="26" t="s">
        <v>101</v>
      </c>
      <c r="E4" s="26" t="s">
        <v>354</v>
      </c>
      <c r="F4" s="11" t="s">
        <v>355</v>
      </c>
      <c r="G4" s="28">
        <v>46252</v>
      </c>
      <c r="H4" s="21">
        <v>4</v>
      </c>
      <c r="I4" s="26" t="s">
        <v>356</v>
      </c>
      <c r="J4" s="11" t="s">
        <v>93</v>
      </c>
      <c r="K4" s="12" t="s">
        <v>353</v>
      </c>
      <c r="L4" s="17"/>
    </row>
    <row r="5" spans="1:12" ht="16.8">
      <c r="A5" s="17"/>
      <c r="B5" s="11"/>
      <c r="C5" s="11" t="s">
        <v>32</v>
      </c>
      <c r="D5" s="26" t="s">
        <v>110</v>
      </c>
      <c r="E5" s="26" t="s">
        <v>357</v>
      </c>
      <c r="F5" s="26" t="s">
        <v>358</v>
      </c>
      <c r="G5" s="28">
        <v>46259</v>
      </c>
      <c r="H5" s="21">
        <v>6</v>
      </c>
      <c r="I5" s="26" t="s">
        <v>359</v>
      </c>
      <c r="J5" s="11" t="s">
        <v>93</v>
      </c>
      <c r="K5" s="12" t="s">
        <v>353</v>
      </c>
      <c r="L5" s="17"/>
    </row>
    <row r="6" spans="1:12" ht="55.2">
      <c r="A6" s="17"/>
      <c r="B6" s="11"/>
      <c r="C6" s="11" t="s">
        <v>131</v>
      </c>
      <c r="D6" s="26" t="s">
        <v>132</v>
      </c>
      <c r="E6" s="26" t="s">
        <v>360</v>
      </c>
      <c r="F6" s="11" t="s">
        <v>361</v>
      </c>
      <c r="G6" s="28">
        <v>46262</v>
      </c>
      <c r="H6" s="21">
        <v>2</v>
      </c>
      <c r="I6" s="29" t="s">
        <v>362</v>
      </c>
      <c r="J6" s="11" t="s">
        <v>93</v>
      </c>
      <c r="K6" s="12" t="s">
        <v>363</v>
      </c>
      <c r="L6" s="17"/>
    </row>
    <row r="7" spans="1:12" ht="16.8">
      <c r="A7" s="17"/>
      <c r="B7" s="11"/>
      <c r="C7" s="11" t="s">
        <v>131</v>
      </c>
      <c r="D7" s="26" t="s">
        <v>148</v>
      </c>
      <c r="E7" s="26" t="s">
        <v>364</v>
      </c>
      <c r="F7" s="26" t="s">
        <v>365</v>
      </c>
      <c r="G7" s="28">
        <v>46263</v>
      </c>
      <c r="H7" s="21">
        <v>3</v>
      </c>
      <c r="I7" s="26" t="s">
        <v>366</v>
      </c>
      <c r="J7" s="11" t="s">
        <v>93</v>
      </c>
      <c r="K7" s="12">
        <v>46265</v>
      </c>
      <c r="L7" s="17"/>
    </row>
    <row r="8" spans="1:12" ht="41.4">
      <c r="A8" s="17"/>
      <c r="B8" s="11"/>
      <c r="C8" s="11" t="s">
        <v>131</v>
      </c>
      <c r="D8" s="11" t="s">
        <v>148</v>
      </c>
      <c r="E8" s="26" t="s">
        <v>367</v>
      </c>
      <c r="F8" s="11" t="s">
        <v>368</v>
      </c>
      <c r="G8" s="12">
        <v>46265</v>
      </c>
      <c r="H8" s="21">
        <v>2</v>
      </c>
      <c r="I8" s="11" t="s">
        <v>369</v>
      </c>
      <c r="J8" s="11" t="s">
        <v>93</v>
      </c>
      <c r="K8" s="12" t="s">
        <v>370</v>
      </c>
      <c r="L8" s="17"/>
    </row>
    <row r="9" spans="1:12" ht="41.4">
      <c r="A9" s="17"/>
      <c r="B9" s="11"/>
      <c r="C9" s="11" t="s">
        <v>131</v>
      </c>
      <c r="D9" s="11" t="s">
        <v>371</v>
      </c>
      <c r="E9" s="11" t="s">
        <v>372</v>
      </c>
      <c r="F9" s="11" t="s">
        <v>373</v>
      </c>
      <c r="G9" s="12" t="s">
        <v>374</v>
      </c>
      <c r="H9" s="21">
        <v>4</v>
      </c>
      <c r="I9" s="11" t="s">
        <v>375</v>
      </c>
      <c r="J9" s="11" t="s">
        <v>93</v>
      </c>
      <c r="K9" s="12" t="s">
        <v>370</v>
      </c>
      <c r="L9" s="17" t="s">
        <v>376</v>
      </c>
    </row>
    <row r="10" spans="1:12" ht="55.2">
      <c r="A10" s="17"/>
      <c r="B10" s="11"/>
      <c r="C10" s="11" t="s">
        <v>196</v>
      </c>
      <c r="D10" s="26" t="s">
        <v>197</v>
      </c>
      <c r="E10" s="26" t="s">
        <v>377</v>
      </c>
      <c r="F10" s="11" t="s">
        <v>378</v>
      </c>
      <c r="G10" s="12">
        <v>46268</v>
      </c>
      <c r="H10" s="21">
        <v>2</v>
      </c>
      <c r="I10" s="11" t="s">
        <v>199</v>
      </c>
      <c r="J10" s="11" t="s">
        <v>93</v>
      </c>
      <c r="K10" s="12">
        <v>46290</v>
      </c>
      <c r="L10" s="17"/>
    </row>
    <row r="11" spans="1:12" ht="41.4">
      <c r="A11" s="17"/>
      <c r="B11" s="11"/>
      <c r="C11" s="11" t="s">
        <v>196</v>
      </c>
      <c r="D11" s="11" t="s">
        <v>250</v>
      </c>
      <c r="E11" s="32" t="s">
        <v>379</v>
      </c>
      <c r="F11" s="11" t="s">
        <v>380</v>
      </c>
      <c r="G11" s="12">
        <v>46282</v>
      </c>
      <c r="H11" s="21">
        <v>2</v>
      </c>
      <c r="I11" s="11" t="s">
        <v>381</v>
      </c>
      <c r="J11" s="11" t="s">
        <v>93</v>
      </c>
      <c r="K11" s="12">
        <v>46290</v>
      </c>
      <c r="L11" s="17"/>
    </row>
    <row r="12" spans="1:12" ht="55.2">
      <c r="A12" s="17"/>
      <c r="B12" s="11"/>
      <c r="C12" s="11" t="s">
        <v>196</v>
      </c>
      <c r="D12" s="11" t="s">
        <v>250</v>
      </c>
      <c r="E12" s="32" t="s">
        <v>382</v>
      </c>
      <c r="F12" s="11" t="s">
        <v>383</v>
      </c>
      <c r="G12" s="12">
        <v>46285</v>
      </c>
      <c r="H12" s="21">
        <v>6</v>
      </c>
      <c r="I12" s="11" t="s">
        <v>384</v>
      </c>
      <c r="J12" s="11" t="s">
        <v>93</v>
      </c>
      <c r="K12" s="12">
        <v>46290</v>
      </c>
      <c r="L12" s="17"/>
    </row>
    <row r="13" spans="1:12" ht="55.2">
      <c r="A13" s="17"/>
      <c r="B13" s="11"/>
      <c r="C13" s="11" t="s">
        <v>196</v>
      </c>
      <c r="D13" s="11" t="s">
        <v>250</v>
      </c>
      <c r="E13" s="29" t="s">
        <v>385</v>
      </c>
      <c r="F13" s="11" t="s">
        <v>386</v>
      </c>
      <c r="G13" s="12">
        <v>46285</v>
      </c>
      <c r="H13" s="21">
        <v>3</v>
      </c>
      <c r="I13" s="11" t="s">
        <v>387</v>
      </c>
      <c r="J13" s="11" t="s">
        <v>93</v>
      </c>
      <c r="K13" s="12">
        <v>46290</v>
      </c>
      <c r="L13" s="17"/>
    </row>
    <row r="14" spans="1:12" ht="16.8">
      <c r="A14" s="17"/>
      <c r="B14" s="11"/>
      <c r="C14" s="11" t="s">
        <v>196</v>
      </c>
      <c r="D14" s="11" t="s">
        <v>388</v>
      </c>
      <c r="E14" s="26" t="s">
        <v>389</v>
      </c>
      <c r="F14" t="s">
        <v>390</v>
      </c>
      <c r="G14" s="12">
        <v>46290</v>
      </c>
      <c r="H14" s="21">
        <v>2</v>
      </c>
      <c r="I14" s="11" t="s">
        <v>294</v>
      </c>
      <c r="J14" s="11" t="s">
        <v>93</v>
      </c>
      <c r="K14" s="12">
        <v>46290</v>
      </c>
      <c r="L14" s="17"/>
    </row>
    <row r="15" spans="1:12" ht="16.8">
      <c r="A15" s="17"/>
      <c r="B15" s="11"/>
      <c r="C15" s="11" t="s">
        <v>196</v>
      </c>
      <c r="D15" s="26" t="s">
        <v>371</v>
      </c>
      <c r="E15" s="33" t="s">
        <v>372</v>
      </c>
      <c r="F15" t="s">
        <v>391</v>
      </c>
      <c r="G15" s="12" t="s">
        <v>374</v>
      </c>
      <c r="H15" s="21">
        <v>4</v>
      </c>
      <c r="I15" s="26" t="s">
        <v>375</v>
      </c>
      <c r="J15" s="11" t="s">
        <v>93</v>
      </c>
      <c r="K15" s="12">
        <v>46290</v>
      </c>
      <c r="L15" s="17"/>
    </row>
    <row r="16" spans="1:12" s="34" customFormat="1" ht="60" customHeight="1">
      <c r="A16" s="11"/>
      <c r="B16" s="17"/>
      <c r="C16" s="38" t="s">
        <v>57</v>
      </c>
      <c r="D16" s="17" t="s">
        <v>331</v>
      </c>
      <c r="E16" s="17" t="s">
        <v>728</v>
      </c>
      <c r="F16" s="39" t="s">
        <v>729</v>
      </c>
      <c r="G16" s="18">
        <v>46319</v>
      </c>
      <c r="H16" s="40">
        <v>40</v>
      </c>
      <c r="I16" s="17" t="s">
        <v>392</v>
      </c>
      <c r="J16" s="17" t="s">
        <v>93</v>
      </c>
      <c r="K16" s="18">
        <v>46320</v>
      </c>
      <c r="L16" s="11"/>
    </row>
    <row r="17" spans="1:12" ht="16.8">
      <c r="A17" s="17" t="s">
        <v>393</v>
      </c>
      <c r="B17" s="11">
        <v>223007074</v>
      </c>
      <c r="C17" s="11" t="s">
        <v>32</v>
      </c>
      <c r="D17" s="11" t="s">
        <v>90</v>
      </c>
      <c r="E17" s="11" t="s">
        <v>394</v>
      </c>
      <c r="F17" s="26" t="s">
        <v>395</v>
      </c>
      <c r="G17" s="12">
        <v>46254</v>
      </c>
      <c r="H17" s="21">
        <v>4</v>
      </c>
      <c r="I17" s="11" t="s">
        <v>396</v>
      </c>
      <c r="J17" s="11" t="s">
        <v>93</v>
      </c>
      <c r="K17" s="12" t="s">
        <v>353</v>
      </c>
      <c r="L17" s="17"/>
    </row>
    <row r="18" spans="1:12" ht="67.2">
      <c r="A18" s="17"/>
      <c r="B18" s="11"/>
      <c r="C18" s="11" t="s">
        <v>32</v>
      </c>
      <c r="D18" s="11" t="s">
        <v>90</v>
      </c>
      <c r="E18" s="11" t="s">
        <v>397</v>
      </c>
      <c r="F18" s="29" t="s">
        <v>398</v>
      </c>
      <c r="G18" s="12">
        <v>46254</v>
      </c>
      <c r="H18" s="21">
        <v>3</v>
      </c>
      <c r="I18" s="11" t="s">
        <v>399</v>
      </c>
      <c r="J18" s="11" t="s">
        <v>93</v>
      </c>
      <c r="K18" s="12" t="s">
        <v>353</v>
      </c>
      <c r="L18" s="17"/>
    </row>
    <row r="19" spans="1:12" ht="27.6">
      <c r="A19" s="17"/>
      <c r="B19" s="11"/>
      <c r="C19" s="11" t="s">
        <v>32</v>
      </c>
      <c r="D19" s="26" t="s">
        <v>101</v>
      </c>
      <c r="E19" s="11" t="s">
        <v>400</v>
      </c>
      <c r="F19" s="11" t="s">
        <v>401</v>
      </c>
      <c r="G19" s="12">
        <v>46251</v>
      </c>
      <c r="H19" s="21">
        <v>2</v>
      </c>
      <c r="I19" s="11" t="s">
        <v>108</v>
      </c>
      <c r="J19" s="11" t="s">
        <v>93</v>
      </c>
      <c r="K19" s="12" t="s">
        <v>353</v>
      </c>
      <c r="L19" s="17"/>
    </row>
    <row r="20" spans="1:12" ht="27.6">
      <c r="A20" s="17"/>
      <c r="B20" s="11"/>
      <c r="C20" s="11" t="s">
        <v>32</v>
      </c>
      <c r="D20" s="11" t="s">
        <v>110</v>
      </c>
      <c r="E20" s="11" t="s">
        <v>402</v>
      </c>
      <c r="F20" s="26" t="s">
        <v>403</v>
      </c>
      <c r="G20" s="12">
        <v>46258</v>
      </c>
      <c r="H20" s="21">
        <v>4</v>
      </c>
      <c r="I20" s="11" t="s">
        <v>404</v>
      </c>
      <c r="J20" s="11" t="s">
        <v>93</v>
      </c>
      <c r="K20" s="12" t="s">
        <v>353</v>
      </c>
      <c r="L20" s="17"/>
    </row>
    <row r="21" spans="1:12" ht="41.4">
      <c r="A21" s="17"/>
      <c r="B21" s="11"/>
      <c r="C21" s="11" t="s">
        <v>32</v>
      </c>
      <c r="D21" s="11" t="s">
        <v>110</v>
      </c>
      <c r="E21" s="11" t="s">
        <v>405</v>
      </c>
      <c r="F21" s="11" t="s">
        <v>406</v>
      </c>
      <c r="G21" s="12">
        <v>46258</v>
      </c>
      <c r="H21" s="21">
        <v>2</v>
      </c>
      <c r="I21" s="11" t="s">
        <v>407</v>
      </c>
      <c r="J21" s="11" t="s">
        <v>93</v>
      </c>
      <c r="K21" s="12" t="s">
        <v>353</v>
      </c>
      <c r="L21" s="17"/>
    </row>
    <row r="22" spans="1:12" ht="41.4">
      <c r="A22" s="17"/>
      <c r="B22" s="11"/>
      <c r="C22" s="11" t="s">
        <v>131</v>
      </c>
      <c r="D22" s="11" t="s">
        <v>132</v>
      </c>
      <c r="E22" s="11" t="s">
        <v>408</v>
      </c>
      <c r="F22" s="11" t="s">
        <v>409</v>
      </c>
      <c r="G22" s="12">
        <v>46262</v>
      </c>
      <c r="H22" s="21">
        <v>2</v>
      </c>
      <c r="I22" s="11" t="s">
        <v>362</v>
      </c>
      <c r="J22" s="11" t="s">
        <v>93</v>
      </c>
      <c r="K22" s="12" t="s">
        <v>363</v>
      </c>
      <c r="L22" s="17"/>
    </row>
    <row r="23" spans="1:12" ht="27.6">
      <c r="A23" s="17"/>
      <c r="B23" s="11"/>
      <c r="C23" s="11" t="s">
        <v>131</v>
      </c>
      <c r="D23" s="11" t="s">
        <v>166</v>
      </c>
      <c r="E23" s="11" t="s">
        <v>410</v>
      </c>
      <c r="F23" s="26" t="s">
        <v>411</v>
      </c>
      <c r="G23" s="12">
        <v>46264</v>
      </c>
      <c r="H23" s="21">
        <v>3</v>
      </c>
      <c r="I23" s="11" t="s">
        <v>412</v>
      </c>
      <c r="J23" s="11" t="s">
        <v>93</v>
      </c>
      <c r="K23" s="12" t="s">
        <v>370</v>
      </c>
      <c r="L23" s="17"/>
    </row>
    <row r="24" spans="1:12" ht="55.2">
      <c r="A24" s="17"/>
      <c r="B24" s="11"/>
      <c r="C24" s="11" t="s">
        <v>131</v>
      </c>
      <c r="D24" s="11" t="s">
        <v>166</v>
      </c>
      <c r="E24" s="11" t="s">
        <v>413</v>
      </c>
      <c r="F24" s="11" t="s">
        <v>414</v>
      </c>
      <c r="G24" s="12">
        <v>46265</v>
      </c>
      <c r="H24" s="21">
        <v>3</v>
      </c>
      <c r="I24" s="11" t="s">
        <v>415</v>
      </c>
      <c r="J24" s="11" t="s">
        <v>93</v>
      </c>
      <c r="K24" s="12" t="s">
        <v>370</v>
      </c>
      <c r="L24" s="17"/>
    </row>
    <row r="25" spans="1:12" ht="69">
      <c r="A25" s="17"/>
      <c r="B25" s="11"/>
      <c r="C25" s="11" t="s">
        <v>131</v>
      </c>
      <c r="D25" s="11" t="s">
        <v>166</v>
      </c>
      <c r="E25" s="11" t="s">
        <v>416</v>
      </c>
      <c r="F25" s="11" t="s">
        <v>417</v>
      </c>
      <c r="G25" s="12">
        <v>46265</v>
      </c>
      <c r="H25" s="21">
        <v>2</v>
      </c>
      <c r="I25" s="11" t="s">
        <v>418</v>
      </c>
      <c r="J25" s="11" t="s">
        <v>93</v>
      </c>
      <c r="K25" s="12" t="s">
        <v>370</v>
      </c>
      <c r="L25" s="17"/>
    </row>
    <row r="26" spans="1:12">
      <c r="A26" s="17"/>
      <c r="B26" s="11"/>
      <c r="C26" s="11" t="s">
        <v>131</v>
      </c>
      <c r="D26" s="11" t="s">
        <v>371</v>
      </c>
      <c r="E26" s="11" t="s">
        <v>372</v>
      </c>
      <c r="F26" s="27" t="s">
        <v>419</v>
      </c>
      <c r="G26" s="12" t="s">
        <v>374</v>
      </c>
      <c r="H26" s="21">
        <v>4</v>
      </c>
      <c r="I26" s="11" t="s">
        <v>375</v>
      </c>
      <c r="J26" s="11" t="s">
        <v>93</v>
      </c>
      <c r="K26" s="12" t="s">
        <v>370</v>
      </c>
      <c r="L26" s="17" t="s">
        <v>376</v>
      </c>
    </row>
    <row r="27" spans="1:12" ht="16.8">
      <c r="A27" s="17"/>
      <c r="B27" s="11"/>
      <c r="C27" s="11" t="s">
        <v>196</v>
      </c>
      <c r="D27" s="26" t="s">
        <v>215</v>
      </c>
      <c r="E27" s="11" t="s">
        <v>420</v>
      </c>
      <c r="F27" s="27" t="s">
        <v>421</v>
      </c>
      <c r="G27" s="12">
        <v>46273</v>
      </c>
      <c r="H27" s="21">
        <v>2</v>
      </c>
      <c r="I27" s="11" t="s">
        <v>217</v>
      </c>
      <c r="J27" s="11" t="s">
        <v>93</v>
      </c>
      <c r="K27" s="12">
        <v>46290</v>
      </c>
      <c r="L27" s="17"/>
    </row>
    <row r="28" spans="1:12" ht="16.8">
      <c r="A28" s="17"/>
      <c r="B28" s="11"/>
      <c r="C28" s="26" t="s">
        <v>196</v>
      </c>
      <c r="D28" s="26" t="s">
        <v>215</v>
      </c>
      <c r="E28" s="11" t="s">
        <v>422</v>
      </c>
      <c r="F28" s="27" t="s">
        <v>423</v>
      </c>
      <c r="G28" s="12">
        <v>46273</v>
      </c>
      <c r="H28" s="21">
        <v>3</v>
      </c>
      <c r="I28" s="11" t="s">
        <v>220</v>
      </c>
      <c r="J28" s="11" t="s">
        <v>93</v>
      </c>
      <c r="K28" s="12">
        <v>46290</v>
      </c>
      <c r="L28" s="17"/>
    </row>
    <row r="29" spans="1:12" ht="16.8">
      <c r="A29" s="17"/>
      <c r="B29" s="11"/>
      <c r="C29" s="26" t="s">
        <v>196</v>
      </c>
      <c r="D29" s="26" t="s">
        <v>215</v>
      </c>
      <c r="E29" s="11" t="s">
        <v>424</v>
      </c>
      <c r="F29" s="27" t="s">
        <v>425</v>
      </c>
      <c r="G29" s="12">
        <v>46274</v>
      </c>
      <c r="H29" s="21">
        <v>3</v>
      </c>
      <c r="I29" s="11" t="s">
        <v>223</v>
      </c>
      <c r="J29" s="11" t="s">
        <v>93</v>
      </c>
      <c r="K29" s="12">
        <v>46290</v>
      </c>
      <c r="L29" s="17"/>
    </row>
    <row r="30" spans="1:12" ht="27.6">
      <c r="A30" s="17"/>
      <c r="B30" s="11"/>
      <c r="C30" s="26" t="s">
        <v>196</v>
      </c>
      <c r="D30" s="11" t="s">
        <v>215</v>
      </c>
      <c r="E30" s="11" t="s">
        <v>426</v>
      </c>
      <c r="F30" s="27" t="s">
        <v>427</v>
      </c>
      <c r="G30" s="12">
        <v>46276</v>
      </c>
      <c r="H30" s="21">
        <v>4</v>
      </c>
      <c r="I30" s="11" t="s">
        <v>227</v>
      </c>
      <c r="J30" s="11" t="s">
        <v>93</v>
      </c>
      <c r="K30" s="12">
        <v>46290</v>
      </c>
      <c r="L30" s="17"/>
    </row>
    <row r="31" spans="1:12" ht="16.8">
      <c r="A31" s="17"/>
      <c r="B31" s="11"/>
      <c r="C31" s="26" t="s">
        <v>196</v>
      </c>
      <c r="D31" s="11" t="s">
        <v>250</v>
      </c>
      <c r="E31" s="11" t="s">
        <v>428</v>
      </c>
      <c r="F31" s="27" t="s">
        <v>429</v>
      </c>
      <c r="G31" s="12">
        <v>46285</v>
      </c>
      <c r="H31" s="21">
        <v>5</v>
      </c>
      <c r="I31" s="11" t="s">
        <v>430</v>
      </c>
      <c r="J31" s="11" t="s">
        <v>93</v>
      </c>
      <c r="K31" s="12">
        <v>46290</v>
      </c>
      <c r="L31" s="17"/>
    </row>
    <row r="32" spans="1:12" s="34" customFormat="1" ht="60" customHeight="1">
      <c r="A32" s="11"/>
      <c r="B32" s="17"/>
      <c r="C32" s="38" t="s">
        <v>57</v>
      </c>
      <c r="D32" s="17" t="s">
        <v>431</v>
      </c>
      <c r="E32" s="17" t="s">
        <v>730</v>
      </c>
      <c r="F32" s="39" t="s">
        <v>731</v>
      </c>
      <c r="G32" s="18">
        <v>46319</v>
      </c>
      <c r="H32" s="40">
        <v>40</v>
      </c>
      <c r="I32" s="17" t="s">
        <v>432</v>
      </c>
      <c r="J32" s="11" t="s">
        <v>93</v>
      </c>
      <c r="K32" s="18">
        <v>46316</v>
      </c>
      <c r="L32" s="11"/>
    </row>
    <row r="33" spans="1:12" ht="16.8">
      <c r="A33" s="17"/>
      <c r="B33" s="11"/>
      <c r="C33" s="26" t="s">
        <v>196</v>
      </c>
      <c r="D33" s="11" t="s">
        <v>371</v>
      </c>
      <c r="E33" s="11" t="s">
        <v>372</v>
      </c>
      <c r="F33" s="27" t="s">
        <v>433</v>
      </c>
      <c r="G33" s="12" t="s">
        <v>374</v>
      </c>
      <c r="H33" s="21">
        <v>4</v>
      </c>
      <c r="I33" s="11" t="s">
        <v>375</v>
      </c>
      <c r="J33" s="11" t="s">
        <v>93</v>
      </c>
      <c r="K33" s="12">
        <v>46290</v>
      </c>
      <c r="L33" s="17"/>
    </row>
    <row r="34" spans="1:12" ht="41.4">
      <c r="A34" s="17" t="s">
        <v>122</v>
      </c>
      <c r="B34" s="11">
        <v>223060226</v>
      </c>
      <c r="C34" s="11" t="s">
        <v>32</v>
      </c>
      <c r="D34" s="26" t="s">
        <v>101</v>
      </c>
      <c r="E34" s="26" t="s">
        <v>434</v>
      </c>
      <c r="F34" s="11" t="s">
        <v>435</v>
      </c>
      <c r="G34" s="12">
        <v>46252</v>
      </c>
      <c r="H34" s="21">
        <v>2</v>
      </c>
      <c r="I34" s="11" t="s">
        <v>108</v>
      </c>
      <c r="J34" s="11" t="s">
        <v>93</v>
      </c>
      <c r="K34" s="12" t="s">
        <v>353</v>
      </c>
      <c r="L34" s="17"/>
    </row>
    <row r="35" spans="1:12" ht="55.2">
      <c r="A35" s="17"/>
      <c r="B35" s="11"/>
      <c r="C35" s="11" t="s">
        <v>32</v>
      </c>
      <c r="D35" s="11" t="s">
        <v>110</v>
      </c>
      <c r="E35" s="11" t="s">
        <v>436</v>
      </c>
      <c r="F35" s="11" t="s">
        <v>437</v>
      </c>
      <c r="G35" s="12">
        <v>46259</v>
      </c>
      <c r="H35" s="21">
        <v>4</v>
      </c>
      <c r="I35" s="11" t="s">
        <v>438</v>
      </c>
      <c r="J35" t="s">
        <v>93</v>
      </c>
      <c r="K35" s="12" t="s">
        <v>353</v>
      </c>
      <c r="L35" s="17"/>
    </row>
    <row r="36" spans="1:12" ht="55.2">
      <c r="A36" s="17"/>
      <c r="B36" s="11"/>
      <c r="C36" s="11" t="s">
        <v>32</v>
      </c>
      <c r="D36" s="11" t="s">
        <v>110</v>
      </c>
      <c r="E36" s="11" t="s">
        <v>439</v>
      </c>
      <c r="F36" s="11" t="s">
        <v>440</v>
      </c>
      <c r="G36" s="12">
        <v>46259</v>
      </c>
      <c r="H36" s="21">
        <v>3</v>
      </c>
      <c r="I36" s="11" t="s">
        <v>123</v>
      </c>
      <c r="J36" s="11" t="s">
        <v>93</v>
      </c>
      <c r="K36" s="12" t="s">
        <v>353</v>
      </c>
      <c r="L36" s="17"/>
    </row>
    <row r="37" spans="1:12" ht="69">
      <c r="A37" s="17"/>
      <c r="B37" s="11"/>
      <c r="C37" s="11" t="s">
        <v>131</v>
      </c>
      <c r="D37" s="11" t="s">
        <v>132</v>
      </c>
      <c r="E37" s="11" t="s">
        <v>441</v>
      </c>
      <c r="F37" s="11" t="s">
        <v>442</v>
      </c>
      <c r="G37" s="12">
        <v>46262</v>
      </c>
      <c r="H37" s="21">
        <v>4</v>
      </c>
      <c r="I37" s="11" t="s">
        <v>443</v>
      </c>
      <c r="J37" s="11" t="s">
        <v>93</v>
      </c>
      <c r="K37" s="12" t="s">
        <v>363</v>
      </c>
      <c r="L37" s="17"/>
    </row>
    <row r="38" spans="1:12" ht="55.2">
      <c r="A38" s="17"/>
      <c r="B38" s="11"/>
      <c r="C38" s="11" t="s">
        <v>131</v>
      </c>
      <c r="D38" s="11" t="s">
        <v>148</v>
      </c>
      <c r="E38" s="11" t="s">
        <v>444</v>
      </c>
      <c r="F38" s="11" t="s">
        <v>445</v>
      </c>
      <c r="G38" s="12">
        <v>46263</v>
      </c>
      <c r="H38" s="21">
        <v>3</v>
      </c>
      <c r="I38" s="11" t="s">
        <v>446</v>
      </c>
      <c r="J38" s="11" t="s">
        <v>93</v>
      </c>
      <c r="K38" s="12" t="s">
        <v>363</v>
      </c>
      <c r="L38" s="17"/>
    </row>
    <row r="39" spans="1:12" ht="69">
      <c r="A39" s="17"/>
      <c r="B39" s="11"/>
      <c r="C39" s="11" t="s">
        <v>131</v>
      </c>
      <c r="D39" s="11" t="s">
        <v>166</v>
      </c>
      <c r="E39" s="11" t="s">
        <v>447</v>
      </c>
      <c r="F39" s="11" t="s">
        <v>448</v>
      </c>
      <c r="G39" s="12">
        <v>46265</v>
      </c>
      <c r="H39" s="21">
        <v>3</v>
      </c>
      <c r="I39" s="11" t="s">
        <v>449</v>
      </c>
      <c r="J39" s="11" t="s">
        <v>93</v>
      </c>
      <c r="K39" s="12" t="s">
        <v>370</v>
      </c>
      <c r="L39" s="17"/>
    </row>
    <row r="40" spans="1:12" ht="41.4">
      <c r="A40" s="17"/>
      <c r="B40" s="11"/>
      <c r="C40" s="11" t="s">
        <v>131</v>
      </c>
      <c r="D40" s="11" t="s">
        <v>166</v>
      </c>
      <c r="E40" s="11" t="s">
        <v>450</v>
      </c>
      <c r="F40" s="11" t="s">
        <v>451</v>
      </c>
      <c r="G40" s="12">
        <v>46265</v>
      </c>
      <c r="H40" s="21">
        <v>3</v>
      </c>
      <c r="I40" s="11" t="s">
        <v>452</v>
      </c>
      <c r="J40" s="11" t="s">
        <v>93</v>
      </c>
      <c r="K40" s="12" t="s">
        <v>370</v>
      </c>
      <c r="L40" s="17"/>
    </row>
    <row r="41" spans="1:12" ht="41.4">
      <c r="A41" s="17"/>
      <c r="B41" s="11"/>
      <c r="C41" s="11" t="s">
        <v>131</v>
      </c>
      <c r="D41" s="11" t="s">
        <v>371</v>
      </c>
      <c r="E41" s="11" t="s">
        <v>372</v>
      </c>
      <c r="F41" s="11" t="s">
        <v>419</v>
      </c>
      <c r="G41" s="12" t="s">
        <v>374</v>
      </c>
      <c r="H41" s="21">
        <v>4</v>
      </c>
      <c r="I41" s="11" t="s">
        <v>375</v>
      </c>
      <c r="J41" s="11" t="s">
        <v>93</v>
      </c>
      <c r="K41" s="12" t="s">
        <v>370</v>
      </c>
      <c r="L41" s="17" t="s">
        <v>376</v>
      </c>
    </row>
    <row r="42" spans="1:12" ht="41.4">
      <c r="A42" s="17"/>
      <c r="B42" s="11"/>
      <c r="C42" s="11" t="s">
        <v>196</v>
      </c>
      <c r="D42" s="11" t="s">
        <v>197</v>
      </c>
      <c r="E42" s="26" t="s">
        <v>453</v>
      </c>
      <c r="F42" s="11" t="s">
        <v>454</v>
      </c>
      <c r="G42" s="12">
        <v>46268</v>
      </c>
      <c r="H42" s="21">
        <v>2</v>
      </c>
      <c r="I42" s="11" t="s">
        <v>199</v>
      </c>
      <c r="J42" s="11" t="s">
        <v>93</v>
      </c>
      <c r="K42" s="12">
        <v>46290</v>
      </c>
      <c r="L42" s="17"/>
    </row>
    <row r="43" spans="1:12" ht="41.4">
      <c r="A43" s="17"/>
      <c r="B43" s="11"/>
      <c r="C43" s="26" t="s">
        <v>196</v>
      </c>
      <c r="D43" s="11" t="s">
        <v>455</v>
      </c>
      <c r="E43" s="11" t="s">
        <v>456</v>
      </c>
      <c r="F43" s="11" t="s">
        <v>457</v>
      </c>
      <c r="G43" s="12">
        <v>46269</v>
      </c>
      <c r="H43" s="21">
        <v>2</v>
      </c>
      <c r="I43" s="11" t="s">
        <v>205</v>
      </c>
      <c r="J43" s="11" t="s">
        <v>93</v>
      </c>
      <c r="K43" s="12">
        <v>46290</v>
      </c>
      <c r="L43" s="17"/>
    </row>
    <row r="44" spans="1:12" ht="55.2">
      <c r="A44" s="17"/>
      <c r="B44" s="11"/>
      <c r="C44" s="26" t="s">
        <v>196</v>
      </c>
      <c r="D44" s="29" t="s">
        <v>197</v>
      </c>
      <c r="E44" s="11" t="s">
        <v>458</v>
      </c>
      <c r="F44" s="11" t="s">
        <v>459</v>
      </c>
      <c r="G44" s="12">
        <v>46269</v>
      </c>
      <c r="H44" s="21">
        <v>2</v>
      </c>
      <c r="I44" s="11" t="s">
        <v>460</v>
      </c>
      <c r="J44" s="11" t="s">
        <v>93</v>
      </c>
      <c r="K44" s="12">
        <v>46290</v>
      </c>
      <c r="L44" s="17"/>
    </row>
    <row r="45" spans="1:12" ht="41.4">
      <c r="A45" s="17"/>
      <c r="B45" s="11"/>
      <c r="C45" s="26" t="s">
        <v>196</v>
      </c>
      <c r="D45" s="26" t="s">
        <v>197</v>
      </c>
      <c r="E45" s="26" t="s">
        <v>199</v>
      </c>
      <c r="F45" s="11" t="s">
        <v>461</v>
      </c>
      <c r="G45" s="12">
        <v>46271</v>
      </c>
      <c r="H45" s="21">
        <v>4</v>
      </c>
      <c r="I45" s="11" t="s">
        <v>462</v>
      </c>
      <c r="J45" s="11" t="s">
        <v>93</v>
      </c>
      <c r="K45" s="12">
        <v>46290</v>
      </c>
      <c r="L45" s="17"/>
    </row>
    <row r="46" spans="1:12" ht="55.2">
      <c r="A46" s="17"/>
      <c r="B46" s="11"/>
      <c r="C46" s="26" t="s">
        <v>196</v>
      </c>
      <c r="D46" s="26" t="s">
        <v>215</v>
      </c>
      <c r="E46" s="11" t="s">
        <v>463</v>
      </c>
      <c r="F46" s="11" t="s">
        <v>464</v>
      </c>
      <c r="G46" s="12">
        <v>46278</v>
      </c>
      <c r="H46" s="21">
        <v>4</v>
      </c>
      <c r="I46" s="11" t="s">
        <v>233</v>
      </c>
      <c r="J46" s="11" t="s">
        <v>93</v>
      </c>
      <c r="K46" s="12">
        <v>46290</v>
      </c>
      <c r="L46" s="17"/>
    </row>
    <row r="47" spans="1:12" ht="41.4">
      <c r="A47" s="17"/>
      <c r="B47" s="11"/>
      <c r="C47" s="26" t="s">
        <v>196</v>
      </c>
      <c r="D47" s="26" t="s">
        <v>215</v>
      </c>
      <c r="E47" s="29" t="s">
        <v>465</v>
      </c>
      <c r="F47" s="11" t="s">
        <v>466</v>
      </c>
      <c r="G47" s="12">
        <v>46279</v>
      </c>
      <c r="H47" s="21">
        <v>3</v>
      </c>
      <c r="I47" s="11" t="s">
        <v>241</v>
      </c>
      <c r="J47" s="11" t="s">
        <v>93</v>
      </c>
      <c r="K47" s="12">
        <v>46290</v>
      </c>
      <c r="L47" s="17"/>
    </row>
    <row r="48" spans="1:12" ht="27.6">
      <c r="A48" s="17"/>
      <c r="B48" s="11"/>
      <c r="C48" s="26" t="s">
        <v>196</v>
      </c>
      <c r="D48" s="26" t="s">
        <v>215</v>
      </c>
      <c r="E48" s="11" t="s">
        <v>467</v>
      </c>
      <c r="F48" s="11" t="s">
        <v>468</v>
      </c>
      <c r="G48" s="12">
        <v>46280</v>
      </c>
      <c r="H48" s="21">
        <v>2</v>
      </c>
      <c r="I48" s="11" t="s">
        <v>244</v>
      </c>
      <c r="J48" s="11" t="s">
        <v>93</v>
      </c>
      <c r="K48" s="12">
        <v>46290</v>
      </c>
      <c r="L48" s="17"/>
    </row>
    <row r="49" spans="1:12" ht="41.4">
      <c r="A49" s="17"/>
      <c r="B49" s="11"/>
      <c r="C49" s="26" t="s">
        <v>196</v>
      </c>
      <c r="D49" s="26" t="s">
        <v>215</v>
      </c>
      <c r="E49" s="29" t="s">
        <v>469</v>
      </c>
      <c r="F49" s="11" t="s">
        <v>470</v>
      </c>
      <c r="G49" s="12">
        <v>46280</v>
      </c>
      <c r="H49" s="21">
        <v>2</v>
      </c>
      <c r="I49" s="11" t="s">
        <v>471</v>
      </c>
      <c r="J49" s="11" t="s">
        <v>93</v>
      </c>
      <c r="K49" s="12">
        <v>46290</v>
      </c>
      <c r="L49" s="17"/>
    </row>
    <row r="50" spans="1:12" ht="41.4">
      <c r="A50" s="17"/>
      <c r="B50" s="11"/>
      <c r="C50" s="26" t="s">
        <v>196</v>
      </c>
      <c r="D50" s="11" t="s">
        <v>215</v>
      </c>
      <c r="E50" s="26" t="s">
        <v>472</v>
      </c>
      <c r="F50" s="11" t="s">
        <v>473</v>
      </c>
      <c r="G50" s="12">
        <v>46282</v>
      </c>
      <c r="H50" s="21">
        <v>4</v>
      </c>
      <c r="I50" s="11" t="s">
        <v>474</v>
      </c>
      <c r="J50" s="11" t="s">
        <v>93</v>
      </c>
      <c r="K50" s="12">
        <v>46290</v>
      </c>
      <c r="L50" s="17"/>
    </row>
    <row r="51" spans="1:12" ht="41.4">
      <c r="A51" s="17"/>
      <c r="B51" s="11"/>
      <c r="C51" s="26" t="s">
        <v>196</v>
      </c>
      <c r="D51" s="11" t="s">
        <v>475</v>
      </c>
      <c r="E51" s="26" t="s">
        <v>476</v>
      </c>
      <c r="F51" s="11" t="s">
        <v>477</v>
      </c>
      <c r="G51" s="12">
        <v>46286</v>
      </c>
      <c r="H51" s="21">
        <v>2</v>
      </c>
      <c r="I51" s="11" t="s">
        <v>478</v>
      </c>
      <c r="J51" s="11" t="s">
        <v>93</v>
      </c>
      <c r="K51" s="12">
        <v>46290</v>
      </c>
      <c r="L51" s="17"/>
    </row>
    <row r="52" spans="1:12" ht="27.6">
      <c r="A52" s="17"/>
      <c r="B52" s="11"/>
      <c r="C52" s="26" t="s">
        <v>196</v>
      </c>
      <c r="D52" s="11" t="s">
        <v>475</v>
      </c>
      <c r="E52" s="11" t="s">
        <v>479</v>
      </c>
      <c r="F52" s="11" t="s">
        <v>480</v>
      </c>
      <c r="G52" s="12">
        <v>46286</v>
      </c>
      <c r="H52" s="21">
        <v>2</v>
      </c>
      <c r="I52" s="11" t="s">
        <v>481</v>
      </c>
      <c r="J52" s="11" t="s">
        <v>93</v>
      </c>
      <c r="K52" s="12">
        <v>46290</v>
      </c>
      <c r="L52" s="17"/>
    </row>
    <row r="53" spans="1:12" s="34" customFormat="1" ht="60" customHeight="1">
      <c r="A53" s="11"/>
      <c r="B53" s="17"/>
      <c r="C53" s="38" t="s">
        <v>57</v>
      </c>
      <c r="D53" s="17" t="s">
        <v>482</v>
      </c>
      <c r="E53" s="17" t="s">
        <v>732</v>
      </c>
      <c r="F53" s="39" t="s">
        <v>733</v>
      </c>
      <c r="G53" s="18">
        <v>46319</v>
      </c>
      <c r="H53" s="40"/>
      <c r="I53" s="17" t="s">
        <v>483</v>
      </c>
      <c r="J53" s="17" t="s">
        <v>93</v>
      </c>
      <c r="K53" s="18">
        <v>46320</v>
      </c>
      <c r="L53" s="11"/>
    </row>
    <row r="54" spans="1:12" ht="55.2">
      <c r="A54" s="17"/>
      <c r="B54" s="11"/>
      <c r="C54" s="26" t="s">
        <v>196</v>
      </c>
      <c r="D54" s="11" t="s">
        <v>371</v>
      </c>
      <c r="E54" s="11" t="s">
        <v>372</v>
      </c>
      <c r="F54" s="11" t="s">
        <v>484</v>
      </c>
      <c r="G54" s="12" t="s">
        <v>374</v>
      </c>
      <c r="H54" s="21">
        <v>4</v>
      </c>
      <c r="I54" s="11" t="s">
        <v>375</v>
      </c>
      <c r="J54" s="11" t="s">
        <v>93</v>
      </c>
      <c r="K54" s="12">
        <v>46290</v>
      </c>
      <c r="L54" s="17"/>
    </row>
    <row r="55" spans="1:12" ht="55.2">
      <c r="A55" s="17" t="s">
        <v>137</v>
      </c>
      <c r="B55" s="11">
        <v>224004294</v>
      </c>
      <c r="C55" s="11" t="s">
        <v>32</v>
      </c>
      <c r="D55" s="11" t="s">
        <v>101</v>
      </c>
      <c r="E55" s="11" t="s">
        <v>434</v>
      </c>
      <c r="F55" s="11" t="s">
        <v>485</v>
      </c>
      <c r="G55" s="12">
        <v>46252</v>
      </c>
      <c r="H55" s="21">
        <v>2</v>
      </c>
      <c r="I55" s="11" t="s">
        <v>108</v>
      </c>
      <c r="J55" s="11" t="s">
        <v>93</v>
      </c>
      <c r="K55" s="12" t="s">
        <v>353</v>
      </c>
      <c r="L55" s="17"/>
    </row>
    <row r="56" spans="1:12" ht="41.4">
      <c r="A56" s="17"/>
      <c r="B56" s="11"/>
      <c r="C56" s="11" t="s">
        <v>32</v>
      </c>
      <c r="D56" s="11" t="s">
        <v>110</v>
      </c>
      <c r="E56" s="11" t="s">
        <v>486</v>
      </c>
      <c r="F56" s="11" t="s">
        <v>487</v>
      </c>
      <c r="G56" s="12">
        <v>46259</v>
      </c>
      <c r="H56" s="21">
        <v>4</v>
      </c>
      <c r="I56" s="11" t="s">
        <v>488</v>
      </c>
      <c r="J56" s="11" t="s">
        <v>93</v>
      </c>
      <c r="K56" s="12" t="s">
        <v>353</v>
      </c>
      <c r="L56" s="17"/>
    </row>
    <row r="57" spans="1:12" ht="69">
      <c r="A57" s="17"/>
      <c r="B57" s="11"/>
      <c r="C57" s="11" t="s">
        <v>131</v>
      </c>
      <c r="D57" s="11" t="s">
        <v>132</v>
      </c>
      <c r="E57" s="11" t="s">
        <v>489</v>
      </c>
      <c r="F57" s="11" t="s">
        <v>490</v>
      </c>
      <c r="G57" s="12">
        <v>46262</v>
      </c>
      <c r="H57" s="21">
        <v>4</v>
      </c>
      <c r="I57" s="11" t="s">
        <v>491</v>
      </c>
      <c r="J57" s="11" t="s">
        <v>93</v>
      </c>
      <c r="K57" s="12" t="s">
        <v>363</v>
      </c>
      <c r="L57" s="17"/>
    </row>
    <row r="58" spans="1:12" ht="55.2">
      <c r="A58" s="17"/>
      <c r="B58" s="11"/>
      <c r="C58" s="11" t="s">
        <v>131</v>
      </c>
      <c r="D58" s="11" t="s">
        <v>148</v>
      </c>
      <c r="E58" s="11" t="s">
        <v>492</v>
      </c>
      <c r="F58" s="11" t="s">
        <v>493</v>
      </c>
      <c r="G58" s="12">
        <v>46263</v>
      </c>
      <c r="H58" s="21">
        <v>2</v>
      </c>
      <c r="I58" s="11" t="s">
        <v>446</v>
      </c>
      <c r="J58" s="11" t="s">
        <v>93</v>
      </c>
      <c r="K58" s="12" t="s">
        <v>363</v>
      </c>
      <c r="L58" s="17"/>
    </row>
    <row r="59" spans="1:12" ht="55.2">
      <c r="A59" s="17"/>
      <c r="B59" s="11"/>
      <c r="C59" s="11" t="s">
        <v>131</v>
      </c>
      <c r="D59" s="11" t="s">
        <v>166</v>
      </c>
      <c r="E59" s="11" t="s">
        <v>494</v>
      </c>
      <c r="F59" s="11" t="s">
        <v>495</v>
      </c>
      <c r="G59" s="12">
        <v>46265</v>
      </c>
      <c r="H59" s="21">
        <v>3</v>
      </c>
      <c r="I59" s="11" t="s">
        <v>412</v>
      </c>
      <c r="J59" s="11" t="s">
        <v>93</v>
      </c>
      <c r="K59" s="12" t="s">
        <v>370</v>
      </c>
      <c r="L59" s="17"/>
    </row>
    <row r="60" spans="1:12" ht="41.4">
      <c r="A60" s="17"/>
      <c r="B60" s="11"/>
      <c r="C60" s="11" t="s">
        <v>196</v>
      </c>
      <c r="D60" s="26" t="s">
        <v>197</v>
      </c>
      <c r="E60" s="11" t="s">
        <v>456</v>
      </c>
      <c r="F60" s="11" t="s">
        <v>496</v>
      </c>
      <c r="G60" s="12">
        <v>46269</v>
      </c>
      <c r="H60" s="21">
        <v>2</v>
      </c>
      <c r="I60" s="11" t="s">
        <v>205</v>
      </c>
      <c r="J60" s="11" t="s">
        <v>93</v>
      </c>
      <c r="K60" s="12">
        <v>46290</v>
      </c>
      <c r="L60" s="17"/>
    </row>
    <row r="61" spans="1:12" ht="41.4">
      <c r="A61" s="17"/>
      <c r="B61" s="11"/>
      <c r="C61" s="26" t="s">
        <v>196</v>
      </c>
      <c r="D61" s="26" t="s">
        <v>197</v>
      </c>
      <c r="E61" s="11" t="s">
        <v>199</v>
      </c>
      <c r="F61" s="11" t="s">
        <v>497</v>
      </c>
      <c r="G61" s="12">
        <v>46271</v>
      </c>
      <c r="H61" s="21">
        <v>3</v>
      </c>
      <c r="I61" s="11" t="s">
        <v>199</v>
      </c>
      <c r="J61" s="11" t="s">
        <v>93</v>
      </c>
      <c r="K61" s="12">
        <v>46290</v>
      </c>
      <c r="L61" s="17"/>
    </row>
    <row r="62" spans="1:12" ht="55.2">
      <c r="A62" s="17"/>
      <c r="B62" s="11"/>
      <c r="C62" s="26" t="s">
        <v>196</v>
      </c>
      <c r="D62" s="11" t="s">
        <v>197</v>
      </c>
      <c r="E62" s="11" t="s">
        <v>498</v>
      </c>
      <c r="F62" s="11" t="s">
        <v>499</v>
      </c>
      <c r="G62" s="12">
        <v>46272</v>
      </c>
      <c r="H62" s="21">
        <v>2</v>
      </c>
      <c r="I62" s="11" t="s">
        <v>213</v>
      </c>
      <c r="J62" s="11" t="s">
        <v>93</v>
      </c>
      <c r="K62" s="12">
        <v>46290</v>
      </c>
      <c r="L62" s="17"/>
    </row>
    <row r="63" spans="1:12" ht="41.4">
      <c r="A63" s="17"/>
      <c r="B63" s="11"/>
      <c r="C63" s="26" t="s">
        <v>196</v>
      </c>
      <c r="D63" s="26" t="s">
        <v>215</v>
      </c>
      <c r="E63" s="11" t="s">
        <v>500</v>
      </c>
      <c r="F63" s="11" t="s">
        <v>501</v>
      </c>
      <c r="G63" s="12">
        <v>46275</v>
      </c>
      <c r="H63" s="21">
        <v>2</v>
      </c>
      <c r="I63" s="11" t="s">
        <v>230</v>
      </c>
      <c r="J63" s="11" t="s">
        <v>93</v>
      </c>
      <c r="K63" s="12">
        <v>46290</v>
      </c>
      <c r="L63" s="17"/>
    </row>
    <row r="64" spans="1:12" ht="69">
      <c r="A64" s="17"/>
      <c r="B64" s="11"/>
      <c r="C64" s="26" t="s">
        <v>196</v>
      </c>
      <c r="D64" s="26" t="s">
        <v>215</v>
      </c>
      <c r="E64" s="11" t="s">
        <v>233</v>
      </c>
      <c r="F64" s="11" t="s">
        <v>502</v>
      </c>
      <c r="G64" s="12">
        <v>46278</v>
      </c>
      <c r="H64" s="21">
        <v>4</v>
      </c>
      <c r="I64" s="11" t="s">
        <v>233</v>
      </c>
      <c r="J64" s="11" t="s">
        <v>93</v>
      </c>
      <c r="K64" s="12">
        <v>46290</v>
      </c>
      <c r="L64" s="17"/>
    </row>
    <row r="65" spans="1:12" ht="69">
      <c r="A65" s="17"/>
      <c r="B65" s="11"/>
      <c r="C65" s="26" t="s">
        <v>196</v>
      </c>
      <c r="D65" s="26" t="s">
        <v>250</v>
      </c>
      <c r="E65" s="11" t="s">
        <v>503</v>
      </c>
      <c r="F65" s="11" t="s">
        <v>504</v>
      </c>
      <c r="G65" s="12">
        <v>46282</v>
      </c>
      <c r="H65" s="21">
        <v>2</v>
      </c>
      <c r="I65" s="11" t="s">
        <v>252</v>
      </c>
      <c r="J65" s="11" t="s">
        <v>93</v>
      </c>
      <c r="K65" s="12">
        <v>46290</v>
      </c>
      <c r="L65" s="17"/>
    </row>
    <row r="66" spans="1:12" ht="55.2">
      <c r="A66" s="17"/>
      <c r="B66" s="11"/>
      <c r="C66" s="26" t="s">
        <v>196</v>
      </c>
      <c r="D66" s="26" t="s">
        <v>250</v>
      </c>
      <c r="E66" s="26" t="s">
        <v>505</v>
      </c>
      <c r="F66" s="11" t="s">
        <v>506</v>
      </c>
      <c r="G66" s="12">
        <v>46285</v>
      </c>
      <c r="H66" s="21">
        <v>6</v>
      </c>
      <c r="I66" s="11" t="s">
        <v>259</v>
      </c>
      <c r="J66" s="11" t="s">
        <v>93</v>
      </c>
      <c r="K66" s="12">
        <v>46290</v>
      </c>
      <c r="L66" s="17"/>
    </row>
    <row r="67" spans="1:12" ht="55.2">
      <c r="A67" s="17"/>
      <c r="B67" s="11"/>
      <c r="C67" s="26" t="s">
        <v>196</v>
      </c>
      <c r="D67" s="26" t="s">
        <v>250</v>
      </c>
      <c r="E67" s="11" t="s">
        <v>507</v>
      </c>
      <c r="F67" s="11" t="s">
        <v>508</v>
      </c>
      <c r="G67" s="12">
        <v>46285</v>
      </c>
      <c r="H67" s="21">
        <v>3</v>
      </c>
      <c r="I67" s="11" t="s">
        <v>266</v>
      </c>
      <c r="J67" s="11" t="s">
        <v>93</v>
      </c>
      <c r="K67" s="12">
        <v>46290</v>
      </c>
      <c r="L67" s="17"/>
    </row>
    <row r="68" spans="1:12" s="34" customFormat="1" ht="60" customHeight="1">
      <c r="A68" s="11"/>
      <c r="B68" s="17"/>
      <c r="C68" s="38" t="s">
        <v>57</v>
      </c>
      <c r="D68" s="17" t="s">
        <v>482</v>
      </c>
      <c r="E68" s="17" t="s">
        <v>734</v>
      </c>
      <c r="F68" s="39" t="s">
        <v>735</v>
      </c>
      <c r="G68" s="18">
        <v>46319</v>
      </c>
      <c r="H68" s="40">
        <v>40</v>
      </c>
      <c r="I68" s="17" t="s">
        <v>509</v>
      </c>
      <c r="J68" s="17" t="s">
        <v>93</v>
      </c>
      <c r="K68" s="18">
        <v>46320</v>
      </c>
      <c r="L68" s="11" cm="1"/>
    </row>
    <row r="69" spans="1:12" ht="27.6">
      <c r="A69" s="17"/>
      <c r="B69" s="11"/>
      <c r="C69" s="26" t="s">
        <v>196</v>
      </c>
      <c r="D69" s="11" t="s">
        <v>250</v>
      </c>
      <c r="E69" s="11" t="s">
        <v>479</v>
      </c>
      <c r="F69" s="11" t="s">
        <v>510</v>
      </c>
      <c r="G69" s="12">
        <v>46286</v>
      </c>
      <c r="H69" s="21">
        <v>2</v>
      </c>
      <c r="I69" s="11" t="s">
        <v>269</v>
      </c>
      <c r="J69" s="11" t="s">
        <v>93</v>
      </c>
      <c r="K69" s="12">
        <v>46290</v>
      </c>
      <c r="L69" s="17"/>
    </row>
    <row r="70" spans="1:12" ht="41.4">
      <c r="A70" s="17" t="s">
        <v>511</v>
      </c>
      <c r="B70" s="11">
        <v>224007421</v>
      </c>
      <c r="C70" s="11" t="s">
        <v>32</v>
      </c>
      <c r="D70" s="11" t="s">
        <v>101</v>
      </c>
      <c r="E70" s="11" t="s">
        <v>434</v>
      </c>
      <c r="F70" s="11" t="s">
        <v>512</v>
      </c>
      <c r="G70" s="12">
        <v>46252</v>
      </c>
      <c r="H70" s="21">
        <v>2</v>
      </c>
      <c r="I70" s="11" t="s">
        <v>513</v>
      </c>
      <c r="J70" s="11" t="s">
        <v>93</v>
      </c>
      <c r="K70" s="12" t="s">
        <v>353</v>
      </c>
      <c r="L70" s="17"/>
    </row>
    <row r="71" spans="1:12" ht="41.4">
      <c r="A71" s="17"/>
      <c r="B71" s="11"/>
      <c r="C71" s="11" t="s">
        <v>32</v>
      </c>
      <c r="D71" s="11" t="s">
        <v>110</v>
      </c>
      <c r="E71" s="11" t="s">
        <v>514</v>
      </c>
      <c r="F71" s="11" t="s">
        <v>515</v>
      </c>
      <c r="G71" s="12">
        <v>46259</v>
      </c>
      <c r="H71" s="21">
        <v>4</v>
      </c>
      <c r="I71" s="11" t="s">
        <v>116</v>
      </c>
      <c r="J71" s="11" t="s">
        <v>93</v>
      </c>
      <c r="K71" s="12" t="s">
        <v>353</v>
      </c>
      <c r="L71" s="17"/>
    </row>
    <row r="72" spans="1:12" ht="41.4">
      <c r="A72" s="17"/>
      <c r="B72" s="11"/>
      <c r="C72" s="11" t="s">
        <v>32</v>
      </c>
      <c r="D72" s="11" t="s">
        <v>110</v>
      </c>
      <c r="E72" s="11" t="s">
        <v>516</v>
      </c>
      <c r="F72" s="11" t="s">
        <v>517</v>
      </c>
      <c r="G72" s="12">
        <v>46257</v>
      </c>
      <c r="H72" s="21">
        <v>3</v>
      </c>
      <c r="I72" s="30" t="s">
        <v>119</v>
      </c>
      <c r="J72" s="11" t="s">
        <v>93</v>
      </c>
      <c r="K72" s="12" t="s">
        <v>353</v>
      </c>
      <c r="L72" s="17"/>
    </row>
    <row r="73" spans="1:12" ht="41.4">
      <c r="A73" s="17"/>
      <c r="B73" s="11"/>
      <c r="C73" s="11" t="s">
        <v>32</v>
      </c>
      <c r="D73" s="11" t="s">
        <v>110</v>
      </c>
      <c r="E73" s="11" t="s">
        <v>518</v>
      </c>
      <c r="F73" s="11" t="s">
        <v>519</v>
      </c>
      <c r="G73" s="12">
        <v>46259</v>
      </c>
      <c r="H73" s="21">
        <v>2</v>
      </c>
      <c r="I73" s="11" t="s">
        <v>520</v>
      </c>
      <c r="J73" s="11" t="s">
        <v>93</v>
      </c>
      <c r="K73" s="12" t="s">
        <v>353</v>
      </c>
      <c r="L73" s="17"/>
    </row>
    <row r="74" spans="1:12" ht="55.2">
      <c r="A74" s="17"/>
      <c r="B74" s="11"/>
      <c r="C74" s="11" t="s">
        <v>131</v>
      </c>
      <c r="D74" s="11" t="s">
        <v>132</v>
      </c>
      <c r="E74" s="11" t="s">
        <v>521</v>
      </c>
      <c r="F74" s="11" t="s">
        <v>522</v>
      </c>
      <c r="G74" s="12">
        <v>46262</v>
      </c>
      <c r="H74" s="21">
        <v>3</v>
      </c>
      <c r="I74" s="11" t="s">
        <v>523</v>
      </c>
      <c r="J74" s="11" t="s">
        <v>93</v>
      </c>
      <c r="K74" s="12" t="s">
        <v>363</v>
      </c>
      <c r="L74" s="17"/>
    </row>
    <row r="75" spans="1:12" ht="55.2">
      <c r="A75" s="17"/>
      <c r="B75" s="11"/>
      <c r="C75" s="11" t="s">
        <v>131</v>
      </c>
      <c r="D75" s="11" t="s">
        <v>148</v>
      </c>
      <c r="E75" s="11" t="s">
        <v>524</v>
      </c>
      <c r="F75" s="11" t="s">
        <v>525</v>
      </c>
      <c r="G75" s="12">
        <v>46263</v>
      </c>
      <c r="H75" s="21">
        <v>3</v>
      </c>
      <c r="I75" s="26" t="s">
        <v>526</v>
      </c>
      <c r="J75" s="11" t="s">
        <v>93</v>
      </c>
      <c r="K75" s="12" t="s">
        <v>363</v>
      </c>
      <c r="L75" s="17"/>
    </row>
    <row r="76" spans="1:12" ht="55.2">
      <c r="A76" s="17"/>
      <c r="B76" s="11"/>
      <c r="C76" s="11" t="s">
        <v>131</v>
      </c>
      <c r="D76" s="11" t="s">
        <v>166</v>
      </c>
      <c r="E76" s="11" t="s">
        <v>527</v>
      </c>
      <c r="F76" s="11" t="s">
        <v>528</v>
      </c>
      <c r="G76" s="12">
        <v>46265</v>
      </c>
      <c r="H76" s="21">
        <v>4</v>
      </c>
      <c r="I76" s="11" t="s">
        <v>529</v>
      </c>
      <c r="J76" s="11" t="s">
        <v>93</v>
      </c>
      <c r="K76" s="12" t="s">
        <v>370</v>
      </c>
      <c r="L76" s="17"/>
    </row>
    <row r="77" spans="1:12" ht="41.4">
      <c r="A77" s="17"/>
      <c r="B77" s="11"/>
      <c r="C77" s="11" t="s">
        <v>131</v>
      </c>
      <c r="D77" s="11" t="s">
        <v>166</v>
      </c>
      <c r="E77" s="11" t="s">
        <v>530</v>
      </c>
      <c r="F77" s="11" t="s">
        <v>531</v>
      </c>
      <c r="G77" s="12">
        <v>46265</v>
      </c>
      <c r="H77" s="21">
        <v>3</v>
      </c>
      <c r="I77" s="11" t="s">
        <v>532</v>
      </c>
      <c r="J77" s="11" t="s">
        <v>93</v>
      </c>
      <c r="K77" s="12" t="s">
        <v>370</v>
      </c>
      <c r="L77" s="17"/>
    </row>
    <row r="78" spans="1:12" ht="41.4">
      <c r="A78" s="17"/>
      <c r="B78" s="11"/>
      <c r="C78" s="11" t="s">
        <v>131</v>
      </c>
      <c r="D78" s="11" t="s">
        <v>166</v>
      </c>
      <c r="E78" s="11" t="s">
        <v>533</v>
      </c>
      <c r="F78" s="11" t="s">
        <v>534</v>
      </c>
      <c r="G78" s="12">
        <v>46265</v>
      </c>
      <c r="H78" s="21">
        <v>3</v>
      </c>
      <c r="I78" s="11" t="s">
        <v>291</v>
      </c>
      <c r="J78" s="11" t="s">
        <v>93</v>
      </c>
      <c r="K78" s="12" t="s">
        <v>370</v>
      </c>
      <c r="L78" s="17"/>
    </row>
    <row r="79" spans="1:12" ht="41.4">
      <c r="A79" s="17"/>
      <c r="B79" s="11"/>
      <c r="C79" s="11" t="s">
        <v>131</v>
      </c>
      <c r="D79" s="11" t="s">
        <v>371</v>
      </c>
      <c r="E79" s="11" t="s">
        <v>372</v>
      </c>
      <c r="F79" s="11" t="s">
        <v>535</v>
      </c>
      <c r="G79" s="12" t="s">
        <v>374</v>
      </c>
      <c r="H79" s="21">
        <v>4</v>
      </c>
      <c r="I79" s="11" t="s">
        <v>375</v>
      </c>
      <c r="J79" s="11" t="s">
        <v>93</v>
      </c>
      <c r="K79" s="12" t="s">
        <v>370</v>
      </c>
      <c r="L79" s="17" t="s">
        <v>376</v>
      </c>
    </row>
    <row r="80" spans="1:12">
      <c r="A80" s="17"/>
      <c r="B80" s="11"/>
      <c r="C80" s="11" t="s">
        <v>196</v>
      </c>
      <c r="D80" s="11" t="s">
        <v>215</v>
      </c>
      <c r="E80" s="11" t="s">
        <v>536</v>
      </c>
      <c r="F80" s="11" t="s">
        <v>537</v>
      </c>
      <c r="G80" s="12">
        <v>46276</v>
      </c>
      <c r="H80" s="21">
        <v>3</v>
      </c>
      <c r="I80" s="11" t="s">
        <v>538</v>
      </c>
      <c r="J80" s="11" t="s">
        <v>93</v>
      </c>
      <c r="K80" s="12">
        <v>46290</v>
      </c>
      <c r="L80" s="17"/>
    </row>
    <row r="81" spans="1:12" ht="16.8">
      <c r="A81" s="17"/>
      <c r="B81" s="11"/>
      <c r="C81" s="26" t="s">
        <v>196</v>
      </c>
      <c r="D81" s="26" t="s">
        <v>215</v>
      </c>
      <c r="E81" s="11" t="s">
        <v>539</v>
      </c>
      <c r="F81" s="26" t="s">
        <v>540</v>
      </c>
      <c r="G81" s="12">
        <v>46282</v>
      </c>
      <c r="H81" s="21">
        <v>3</v>
      </c>
      <c r="I81" s="11" t="s">
        <v>474</v>
      </c>
      <c r="J81" s="11" t="s">
        <v>93</v>
      </c>
      <c r="K81" s="12">
        <v>46290</v>
      </c>
      <c r="L81" s="17"/>
    </row>
    <row r="82" spans="1:12" ht="16.8">
      <c r="A82" s="17"/>
      <c r="B82" s="11"/>
      <c r="C82" s="26" t="s">
        <v>196</v>
      </c>
      <c r="D82" s="11" t="s">
        <v>250</v>
      </c>
      <c r="E82" s="11" t="s">
        <v>505</v>
      </c>
      <c r="F82" s="26" t="s">
        <v>541</v>
      </c>
      <c r="G82" s="12">
        <v>46285</v>
      </c>
      <c r="H82" s="21">
        <v>5</v>
      </c>
      <c r="I82" s="11" t="s">
        <v>542</v>
      </c>
      <c r="J82" s="11" t="s">
        <v>93</v>
      </c>
      <c r="K82" s="12">
        <v>46290</v>
      </c>
      <c r="L82" s="17"/>
    </row>
    <row r="83" spans="1:12" ht="41.4">
      <c r="A83" s="17"/>
      <c r="B83" s="11"/>
      <c r="C83" s="26" t="s">
        <v>196</v>
      </c>
      <c r="D83" s="11" t="s">
        <v>250</v>
      </c>
      <c r="E83" s="11" t="s">
        <v>543</v>
      </c>
      <c r="F83" s="11" t="s">
        <v>544</v>
      </c>
      <c r="G83" s="12">
        <v>46288</v>
      </c>
      <c r="H83" s="21">
        <v>3</v>
      </c>
      <c r="I83" s="11" t="s">
        <v>285</v>
      </c>
      <c r="J83" s="11" t="s">
        <v>93</v>
      </c>
      <c r="K83" s="12">
        <v>46290</v>
      </c>
      <c r="L83" s="17"/>
    </row>
    <row r="84" spans="1:12" ht="50.4">
      <c r="A84" s="17"/>
      <c r="B84" s="11"/>
      <c r="C84" s="26" t="s">
        <v>196</v>
      </c>
      <c r="D84" s="11" t="s">
        <v>250</v>
      </c>
      <c r="E84" s="11" t="s">
        <v>545</v>
      </c>
      <c r="F84" s="29" t="s">
        <v>546</v>
      </c>
      <c r="G84" s="12">
        <v>46288</v>
      </c>
      <c r="H84" s="21">
        <v>3</v>
      </c>
      <c r="I84" s="30" t="s">
        <v>119</v>
      </c>
      <c r="J84" s="11" t="s">
        <v>93</v>
      </c>
      <c r="K84" s="12">
        <v>46290</v>
      </c>
      <c r="L84" s="17"/>
    </row>
    <row r="85" spans="1:12" ht="41.4">
      <c r="A85" s="17"/>
      <c r="B85" s="11"/>
      <c r="C85" s="26" t="s">
        <v>196</v>
      </c>
      <c r="D85" s="11" t="s">
        <v>250</v>
      </c>
      <c r="E85" s="11" t="s">
        <v>547</v>
      </c>
      <c r="F85" s="11" t="s">
        <v>548</v>
      </c>
      <c r="G85" s="12">
        <v>46288</v>
      </c>
      <c r="H85" s="21">
        <v>3</v>
      </c>
      <c r="I85" s="11" t="s">
        <v>291</v>
      </c>
      <c r="J85" s="11" t="s">
        <v>93</v>
      </c>
      <c r="K85" s="12">
        <v>46290</v>
      </c>
      <c r="L85" s="17"/>
    </row>
    <row r="86" spans="1:12" ht="16.8">
      <c r="A86" s="17"/>
      <c r="B86" s="11"/>
      <c r="C86" s="26" t="s">
        <v>196</v>
      </c>
      <c r="D86" s="11" t="s">
        <v>371</v>
      </c>
      <c r="E86" s="11" t="s">
        <v>372</v>
      </c>
      <c r="F86" s="27" t="s">
        <v>549</v>
      </c>
      <c r="G86" s="12" t="s">
        <v>374</v>
      </c>
      <c r="H86" s="21">
        <v>4</v>
      </c>
      <c r="I86" s="11" t="s">
        <v>375</v>
      </c>
      <c r="J86" s="11" t="s">
        <v>93</v>
      </c>
      <c r="K86" s="12">
        <v>46290</v>
      </c>
      <c r="L86" s="17"/>
    </row>
    <row r="87" spans="1:12" s="34" customFormat="1" ht="60" customHeight="1">
      <c r="A87" s="11"/>
      <c r="B87" s="17"/>
      <c r="C87" s="38" t="s">
        <v>57</v>
      </c>
      <c r="D87" s="17" t="s">
        <v>331</v>
      </c>
      <c r="E87" s="17" t="s">
        <v>736</v>
      </c>
      <c r="F87" s="39" t="s">
        <v>737</v>
      </c>
      <c r="G87" s="18">
        <v>46320</v>
      </c>
      <c r="H87" s="40">
        <v>6</v>
      </c>
      <c r="I87" s="17" t="s">
        <v>550</v>
      </c>
      <c r="J87" s="17" t="s">
        <v>93</v>
      </c>
      <c r="K87" s="18">
        <v>46320</v>
      </c>
      <c r="L87" s="11"/>
    </row>
    <row r="88" spans="1:12">
      <c r="A88" s="17"/>
      <c r="B88" s="11"/>
      <c r="C88" s="11"/>
      <c r="D88" s="11"/>
      <c r="E88" s="11"/>
      <c r="F88" s="11"/>
      <c r="G88" s="12"/>
      <c r="H88" s="21"/>
      <c r="I88" s="11"/>
      <c r="J88" s="11"/>
      <c r="K88" s="12"/>
      <c r="L88" s="17"/>
    </row>
    <row r="89" spans="1:12">
      <c r="A89" s="17"/>
      <c r="B89" s="11"/>
      <c r="C89" s="11"/>
      <c r="D89" s="11"/>
      <c r="E89" s="11"/>
      <c r="F89" s="11"/>
      <c r="G89" s="12"/>
      <c r="H89" s="21"/>
      <c r="I89" s="11"/>
      <c r="J89" s="11"/>
      <c r="K89" s="12"/>
      <c r="L89" s="17"/>
    </row>
    <row r="90" spans="1:12">
      <c r="A90" s="17"/>
      <c r="B90" s="11"/>
      <c r="C90" s="11"/>
      <c r="D90" s="11"/>
      <c r="E90" s="11"/>
      <c r="F90" s="11"/>
      <c r="G90" s="12"/>
      <c r="H90" s="21"/>
      <c r="I90" s="11"/>
      <c r="J90" s="11"/>
      <c r="K90" s="12"/>
      <c r="L90" s="17"/>
    </row>
    <row r="91" spans="1:12">
      <c r="A91" s="17"/>
      <c r="B91" s="11"/>
      <c r="C91" s="11"/>
      <c r="D91" s="11"/>
      <c r="E91" s="11"/>
      <c r="F91" s="11"/>
      <c r="G91" s="12"/>
      <c r="H91" s="21"/>
      <c r="I91" s="11"/>
      <c r="J91" s="11"/>
      <c r="K91" s="12"/>
      <c r="L91" s="17"/>
    </row>
    <row r="92" spans="1:12">
      <c r="A92" s="17"/>
      <c r="B92" s="11"/>
      <c r="C92" s="11"/>
      <c r="D92" s="11"/>
      <c r="E92" s="11"/>
      <c r="F92" s="11"/>
      <c r="G92" s="12"/>
      <c r="H92" s="21"/>
      <c r="I92" s="11"/>
      <c r="J92" s="11"/>
      <c r="K92" s="12"/>
      <c r="L92" s="17"/>
    </row>
    <row r="93" spans="1:12">
      <c r="A93" s="17"/>
      <c r="B93" s="11"/>
      <c r="C93" s="11"/>
      <c r="D93" s="11"/>
      <c r="E93" s="11"/>
      <c r="F93" s="11"/>
      <c r="G93" s="12"/>
      <c r="H93" s="21"/>
      <c r="I93" s="11"/>
      <c r="J93" s="11"/>
      <c r="K93" s="12"/>
      <c r="L93" s="17"/>
    </row>
    <row r="94" spans="1:12">
      <c r="A94" s="17"/>
      <c r="B94" s="11"/>
      <c r="C94" s="11"/>
      <c r="D94" s="11"/>
      <c r="E94" s="11"/>
      <c r="F94" s="11"/>
      <c r="G94" s="12"/>
      <c r="H94" s="21"/>
      <c r="I94" s="11"/>
      <c r="J94" s="11"/>
      <c r="K94" s="12"/>
      <c r="L94" s="17"/>
    </row>
    <row r="95" spans="1:12">
      <c r="A95" s="17"/>
      <c r="B95" s="11"/>
      <c r="C95" s="11"/>
      <c r="D95" s="11"/>
      <c r="E95" s="11"/>
      <c r="F95" s="11"/>
      <c r="G95" s="12"/>
      <c r="H95" s="21"/>
      <c r="I95" s="11"/>
      <c r="J95" s="11"/>
      <c r="K95" s="12"/>
      <c r="L95" s="17"/>
    </row>
    <row r="96" spans="1:12">
      <c r="A96" s="17"/>
      <c r="B96" s="11"/>
      <c r="C96" s="11"/>
      <c r="D96" s="11"/>
      <c r="E96" s="11"/>
      <c r="F96" s="11"/>
      <c r="G96" s="12"/>
      <c r="H96" s="21"/>
      <c r="I96" s="11"/>
      <c r="J96" s="11"/>
      <c r="K96" s="12"/>
      <c r="L96" s="17"/>
    </row>
    <row r="97" spans="1:12">
      <c r="A97" s="17"/>
      <c r="B97" s="11"/>
      <c r="C97" s="11"/>
      <c r="D97" s="11"/>
      <c r="E97" s="11"/>
      <c r="F97" s="11"/>
      <c r="G97" s="12"/>
      <c r="H97" s="21"/>
      <c r="I97" s="11"/>
      <c r="J97" s="11"/>
      <c r="K97" s="12"/>
      <c r="L97" s="17"/>
    </row>
    <row r="98" spans="1:12">
      <c r="A98" s="17"/>
      <c r="B98" s="11"/>
      <c r="C98" s="11"/>
      <c r="D98" s="11"/>
      <c r="E98" s="11"/>
      <c r="F98" s="11"/>
      <c r="G98" s="12"/>
      <c r="H98" s="21"/>
      <c r="I98" s="11"/>
      <c r="J98" s="11"/>
      <c r="K98" s="12"/>
      <c r="L98" s="17"/>
    </row>
    <row r="99" spans="1:12">
      <c r="A99" s="17"/>
      <c r="B99" s="11"/>
      <c r="C99" s="11"/>
      <c r="D99" s="11"/>
      <c r="E99" s="11"/>
      <c r="F99" s="11"/>
      <c r="G99" s="12"/>
      <c r="H99" s="21"/>
      <c r="I99" s="11"/>
      <c r="J99" s="11"/>
      <c r="K99" s="12"/>
      <c r="L99" s="17"/>
    </row>
    <row r="100" spans="1:12">
      <c r="A100" s="17"/>
      <c r="B100" s="11"/>
      <c r="C100" s="11"/>
      <c r="D100" s="11"/>
      <c r="E100" s="11"/>
      <c r="F100" s="11"/>
      <c r="G100" s="12"/>
      <c r="H100" s="21"/>
      <c r="I100" s="11"/>
      <c r="J100" s="11"/>
      <c r="K100" s="12"/>
      <c r="L100" s="17"/>
    </row>
    <row r="101" spans="1:12">
      <c r="A101" s="17"/>
      <c r="B101" s="11"/>
      <c r="C101" s="11"/>
      <c r="D101" s="11"/>
      <c r="E101" s="11"/>
      <c r="F101" s="11"/>
      <c r="G101" s="12"/>
      <c r="H101" s="21"/>
      <c r="I101" s="11"/>
      <c r="J101" s="11"/>
      <c r="K101" s="12"/>
      <c r="L101" s="17"/>
    </row>
    <row r="102" spans="1:12">
      <c r="A102" s="17"/>
      <c r="B102" s="11"/>
      <c r="C102" s="11"/>
      <c r="D102" s="11"/>
      <c r="E102" s="11"/>
      <c r="F102" s="11"/>
      <c r="G102" s="12"/>
      <c r="H102" s="21"/>
      <c r="I102" s="11"/>
      <c r="J102" s="11"/>
      <c r="K102" s="12"/>
      <c r="L102" s="17"/>
    </row>
    <row r="103" spans="1:12">
      <c r="A103" s="17"/>
      <c r="B103" s="11"/>
      <c r="C103" s="11"/>
      <c r="D103" s="11"/>
      <c r="E103" s="11"/>
      <c r="F103" s="11"/>
      <c r="G103" s="12"/>
      <c r="H103" s="21"/>
      <c r="I103" s="11"/>
      <c r="J103" s="11"/>
      <c r="K103" s="12"/>
      <c r="L103" s="17"/>
    </row>
    <row r="104" spans="1:12">
      <c r="A104" s="17"/>
      <c r="B104" s="11"/>
      <c r="C104" s="11"/>
      <c r="D104" s="11"/>
      <c r="E104" s="11"/>
      <c r="F104" s="11"/>
      <c r="G104" s="12"/>
      <c r="H104" s="21"/>
      <c r="I104" s="11"/>
      <c r="J104" s="11"/>
      <c r="K104" s="12"/>
      <c r="L104" s="17"/>
    </row>
    <row r="105" spans="1:12">
      <c r="A105" s="17"/>
      <c r="B105" s="11"/>
      <c r="C105" s="11"/>
      <c r="D105" s="11"/>
      <c r="E105" s="11"/>
      <c r="F105" s="11"/>
      <c r="G105" s="12"/>
      <c r="H105" s="21"/>
      <c r="I105" s="11"/>
      <c r="J105" s="11"/>
      <c r="K105" s="12"/>
      <c r="L105" s="17"/>
    </row>
    <row r="106" spans="1:12">
      <c r="A106" s="17"/>
      <c r="B106" s="11"/>
      <c r="C106" s="11"/>
      <c r="D106" s="11"/>
      <c r="E106" s="11"/>
      <c r="F106" s="11"/>
      <c r="G106" s="12"/>
      <c r="H106" s="21"/>
      <c r="I106" s="11"/>
      <c r="J106" s="11"/>
      <c r="K106" s="12"/>
      <c r="L106" s="17"/>
    </row>
    <row r="107" spans="1:12">
      <c r="A107" s="17"/>
      <c r="B107" s="11"/>
      <c r="C107" s="11"/>
      <c r="D107" s="11"/>
      <c r="E107" s="11"/>
      <c r="F107" s="11"/>
      <c r="G107" s="12"/>
      <c r="H107" s="21"/>
      <c r="I107" s="11"/>
      <c r="J107" s="11"/>
      <c r="K107" s="12"/>
      <c r="L107" s="17"/>
    </row>
    <row r="108" spans="1:12">
      <c r="A108" s="17"/>
      <c r="B108" s="11"/>
      <c r="C108" s="11"/>
      <c r="D108" s="11"/>
      <c r="E108" s="11"/>
      <c r="F108" s="11"/>
      <c r="G108" s="12"/>
      <c r="H108" s="21"/>
      <c r="I108" s="11"/>
      <c r="J108" s="11"/>
      <c r="K108" s="12"/>
      <c r="L108" s="17"/>
    </row>
    <row r="109" spans="1:12">
      <c r="A109" s="17"/>
      <c r="B109" s="11"/>
      <c r="C109" s="11"/>
      <c r="D109" s="11"/>
      <c r="E109" s="11"/>
      <c r="F109" s="11"/>
      <c r="G109" s="12"/>
      <c r="H109" s="21"/>
      <c r="I109" s="11"/>
      <c r="J109" s="11"/>
      <c r="K109" s="12"/>
      <c r="L109" s="17"/>
    </row>
    <row r="110" spans="1:12">
      <c r="A110" s="17"/>
      <c r="B110" s="11"/>
      <c r="C110" s="11"/>
      <c r="D110" s="11"/>
      <c r="E110" s="11"/>
      <c r="F110" s="11"/>
      <c r="G110" s="12"/>
      <c r="H110" s="21"/>
      <c r="I110" s="11"/>
      <c r="J110" s="11"/>
      <c r="K110" s="12"/>
      <c r="L110" s="17"/>
    </row>
    <row r="111" spans="1:12">
      <c r="A111" s="17"/>
      <c r="B111" s="11"/>
      <c r="C111" s="11"/>
      <c r="D111" s="11"/>
      <c r="E111" s="11"/>
      <c r="F111" s="11"/>
      <c r="G111" s="12"/>
      <c r="H111" s="21"/>
      <c r="I111" s="11"/>
      <c r="J111" s="11"/>
      <c r="K111" s="12"/>
      <c r="L111" s="17"/>
    </row>
    <row r="112" spans="1:12">
      <c r="A112" s="17"/>
      <c r="B112" s="11"/>
      <c r="C112" s="11"/>
      <c r="D112" s="11"/>
      <c r="E112" s="11"/>
      <c r="F112" s="11"/>
      <c r="G112" s="12"/>
      <c r="H112" s="21"/>
      <c r="I112" s="11"/>
      <c r="J112" s="11"/>
      <c r="K112" s="12"/>
      <c r="L112" s="17"/>
    </row>
    <row r="113" spans="1:12">
      <c r="A113" s="17"/>
      <c r="B113" s="11"/>
      <c r="C113" s="11"/>
      <c r="D113" s="11"/>
      <c r="E113" s="11"/>
      <c r="F113" s="11"/>
      <c r="G113" s="12"/>
      <c r="H113" s="21"/>
      <c r="I113" s="11"/>
      <c r="J113" s="11"/>
      <c r="K113" s="12"/>
      <c r="L113" s="17"/>
    </row>
    <row r="114" spans="1:12">
      <c r="A114" s="17"/>
      <c r="B114" s="11"/>
      <c r="C114" s="11"/>
      <c r="D114" s="11"/>
      <c r="E114" s="11"/>
      <c r="F114" s="11"/>
      <c r="G114" s="12"/>
      <c r="H114" s="21"/>
      <c r="I114" s="11"/>
      <c r="J114" s="11"/>
      <c r="K114" s="12"/>
      <c r="L114" s="17"/>
    </row>
    <row r="115" spans="1:12">
      <c r="A115" s="17"/>
      <c r="B115" s="11"/>
      <c r="C115" s="11"/>
      <c r="D115" s="11"/>
      <c r="E115" s="11"/>
      <c r="F115" s="11"/>
      <c r="G115" s="12"/>
      <c r="H115" s="21"/>
      <c r="I115" s="11"/>
      <c r="J115" s="11"/>
      <c r="K115" s="12"/>
      <c r="L115" s="17"/>
    </row>
    <row r="116" spans="1:12">
      <c r="A116" s="17"/>
      <c r="B116" s="11"/>
      <c r="C116" s="11"/>
      <c r="D116" s="11"/>
      <c r="E116" s="11"/>
      <c r="F116" s="11"/>
      <c r="G116" s="12"/>
      <c r="H116" s="21"/>
      <c r="I116" s="11"/>
      <c r="J116" s="11"/>
      <c r="K116" s="12"/>
      <c r="L116" s="17"/>
    </row>
    <row r="117" spans="1:12">
      <c r="A117" s="17"/>
      <c r="B117" s="11"/>
      <c r="C117" s="11"/>
      <c r="D117" s="11"/>
      <c r="E117" s="11"/>
      <c r="F117" s="11"/>
      <c r="G117" s="12"/>
      <c r="H117" s="21"/>
      <c r="I117" s="11"/>
      <c r="J117" s="11"/>
      <c r="K117" s="12"/>
      <c r="L117" s="17"/>
    </row>
    <row r="118" spans="1:12">
      <c r="A118" s="17"/>
      <c r="B118" s="11"/>
      <c r="C118" s="11"/>
      <c r="D118" s="11"/>
      <c r="E118" s="11"/>
      <c r="F118" s="11"/>
      <c r="G118" s="12"/>
      <c r="H118" s="21"/>
      <c r="I118" s="11"/>
      <c r="J118" s="11"/>
      <c r="K118" s="12"/>
      <c r="L118" s="17"/>
    </row>
    <row r="119" spans="1:12">
      <c r="A119" s="17"/>
      <c r="B119" s="11"/>
      <c r="C119" s="11"/>
      <c r="D119" s="11"/>
      <c r="E119" s="11"/>
      <c r="F119" s="11"/>
      <c r="G119" s="12"/>
      <c r="H119" s="21"/>
      <c r="I119" s="11"/>
      <c r="J119" s="11"/>
      <c r="K119" s="12"/>
      <c r="L119" s="17"/>
    </row>
    <row r="120" spans="1:12">
      <c r="A120" s="17"/>
      <c r="B120" s="11"/>
      <c r="C120" s="11"/>
      <c r="D120" s="11"/>
      <c r="E120" s="11"/>
      <c r="F120" s="11"/>
      <c r="G120" s="12"/>
      <c r="H120" s="21"/>
      <c r="I120" s="11"/>
      <c r="J120" s="11"/>
      <c r="K120" s="12"/>
      <c r="L120" s="17"/>
    </row>
    <row r="121" spans="1:12">
      <c r="A121" s="17"/>
      <c r="B121" s="11"/>
      <c r="C121" s="11"/>
      <c r="D121" s="11"/>
      <c r="E121" s="11"/>
      <c r="F121" s="11"/>
      <c r="G121" s="12"/>
      <c r="H121" s="21"/>
      <c r="I121" s="11"/>
      <c r="J121" s="11"/>
      <c r="K121" s="12"/>
      <c r="L121" s="17"/>
    </row>
    <row r="122" spans="1:12">
      <c r="A122" s="17"/>
      <c r="B122" s="11"/>
      <c r="C122" s="11"/>
      <c r="D122" s="11"/>
      <c r="E122" s="11"/>
      <c r="F122" s="11"/>
      <c r="G122" s="12"/>
      <c r="H122" s="21"/>
      <c r="I122" s="11"/>
      <c r="J122" s="11"/>
      <c r="K122" s="12"/>
      <c r="L122" s="17"/>
    </row>
    <row r="123" spans="1:12">
      <c r="A123" s="17"/>
      <c r="B123" s="11"/>
      <c r="C123" s="11"/>
      <c r="D123" s="11"/>
      <c r="E123" s="11"/>
      <c r="F123" s="11"/>
      <c r="G123" s="12"/>
      <c r="H123" s="21"/>
      <c r="I123" s="11"/>
      <c r="J123" s="11"/>
      <c r="K123" s="12"/>
      <c r="L123" s="17"/>
    </row>
    <row r="124" spans="1:12">
      <c r="A124" s="17"/>
      <c r="B124" s="11"/>
      <c r="C124" s="11"/>
      <c r="D124" s="11"/>
      <c r="E124" s="11"/>
      <c r="F124" s="11"/>
      <c r="G124" s="12"/>
      <c r="H124" s="21"/>
      <c r="I124" s="11"/>
      <c r="J124" s="11"/>
      <c r="K124" s="12"/>
      <c r="L124" s="17"/>
    </row>
    <row r="125" spans="1:12">
      <c r="A125" s="17"/>
      <c r="B125" s="11"/>
      <c r="C125" s="11"/>
      <c r="D125" s="11"/>
      <c r="E125" s="11"/>
      <c r="F125" s="11"/>
      <c r="G125" s="12"/>
      <c r="H125" s="21"/>
      <c r="I125" s="11"/>
      <c r="J125" s="11"/>
      <c r="K125" s="12"/>
      <c r="L125" s="17"/>
    </row>
    <row r="126" spans="1:12">
      <c r="A126" s="17"/>
      <c r="B126" s="11"/>
      <c r="C126" s="11"/>
      <c r="D126" s="11"/>
      <c r="E126" s="11"/>
      <c r="F126" s="11"/>
      <c r="G126" s="12"/>
      <c r="H126" s="21"/>
      <c r="I126" s="11"/>
      <c r="J126" s="11"/>
      <c r="K126" s="12"/>
      <c r="L126" s="17"/>
    </row>
    <row r="127" spans="1:12">
      <c r="A127" s="17"/>
      <c r="B127" s="11"/>
      <c r="C127" s="11"/>
      <c r="D127" s="11"/>
      <c r="E127" s="11"/>
      <c r="F127" s="11"/>
      <c r="G127" s="12"/>
      <c r="H127" s="21"/>
      <c r="I127" s="11"/>
      <c r="J127" s="11"/>
      <c r="K127" s="12"/>
      <c r="L127" s="17"/>
    </row>
    <row r="128" spans="1:12">
      <c r="A128" s="17"/>
      <c r="B128" s="11"/>
      <c r="C128" s="11"/>
      <c r="D128" s="11"/>
      <c r="E128" s="11"/>
      <c r="F128" s="11"/>
      <c r="G128" s="12"/>
      <c r="H128" s="21"/>
      <c r="I128" s="11"/>
      <c r="J128" s="11"/>
      <c r="K128" s="12"/>
      <c r="L128" s="17"/>
    </row>
    <row r="129" spans="1:12">
      <c r="A129" s="17"/>
      <c r="B129" s="11"/>
      <c r="C129" s="11"/>
      <c r="D129" s="11"/>
      <c r="E129" s="11"/>
      <c r="F129" s="11"/>
      <c r="G129" s="12"/>
      <c r="H129" s="21"/>
      <c r="I129" s="11"/>
      <c r="J129" s="11"/>
      <c r="K129" s="12"/>
      <c r="L129" s="17"/>
    </row>
    <row r="130" spans="1:12">
      <c r="A130" s="17"/>
      <c r="B130" s="11"/>
      <c r="C130" s="11"/>
      <c r="D130" s="11"/>
      <c r="E130" s="11"/>
      <c r="F130" s="11"/>
      <c r="G130" s="12"/>
      <c r="H130" s="21"/>
      <c r="I130" s="11"/>
      <c r="J130" s="11"/>
      <c r="K130" s="12"/>
      <c r="L130" s="17"/>
    </row>
    <row r="131" spans="1:12">
      <c r="A131" s="17"/>
      <c r="B131" s="11"/>
      <c r="C131" s="11"/>
      <c r="D131" s="11"/>
      <c r="E131" s="11"/>
      <c r="F131" s="11"/>
      <c r="G131" s="12"/>
      <c r="H131" s="21"/>
      <c r="I131" s="11"/>
      <c r="J131" s="11"/>
      <c r="K131" s="12"/>
      <c r="L131" s="17"/>
    </row>
    <row r="132" spans="1:12">
      <c r="A132" s="17"/>
      <c r="B132" s="11"/>
      <c r="C132" s="11"/>
      <c r="D132" s="11"/>
      <c r="E132" s="11"/>
      <c r="F132" s="11"/>
      <c r="G132" s="12"/>
      <c r="H132" s="21"/>
      <c r="I132" s="11"/>
      <c r="J132" s="11"/>
      <c r="K132" s="12"/>
      <c r="L132" s="17"/>
    </row>
    <row r="133" spans="1:12">
      <c r="A133" s="17"/>
      <c r="B133" s="11"/>
      <c r="C133" s="11"/>
      <c r="D133" s="11"/>
      <c r="E133" s="11"/>
      <c r="F133" s="11"/>
      <c r="G133" s="12"/>
      <c r="H133" s="21"/>
      <c r="I133" s="11"/>
      <c r="J133" s="11"/>
      <c r="K133" s="12"/>
      <c r="L133" s="17"/>
    </row>
    <row r="134" spans="1:12">
      <c r="A134" s="17"/>
      <c r="B134" s="11"/>
      <c r="C134" s="11"/>
      <c r="D134" s="11"/>
      <c r="E134" s="11"/>
      <c r="F134" s="11"/>
      <c r="G134" s="12"/>
      <c r="H134" s="21"/>
      <c r="I134" s="11"/>
      <c r="J134" s="11"/>
      <c r="K134" s="12"/>
      <c r="L134" s="17"/>
    </row>
    <row r="135" spans="1:12">
      <c r="A135" s="17"/>
      <c r="B135" s="11"/>
      <c r="C135" s="11"/>
      <c r="D135" s="11"/>
      <c r="E135" s="11"/>
      <c r="F135" s="11"/>
      <c r="G135" s="12"/>
      <c r="H135" s="21"/>
      <c r="I135" s="11"/>
      <c r="J135" s="11"/>
      <c r="K135" s="12"/>
      <c r="L135" s="17"/>
    </row>
    <row r="136" spans="1:12">
      <c r="A136" s="17"/>
      <c r="B136" s="11"/>
      <c r="C136" s="11"/>
      <c r="D136" s="11"/>
      <c r="E136" s="11"/>
      <c r="F136" s="11"/>
      <c r="G136" s="12"/>
      <c r="H136" s="21"/>
      <c r="I136" s="11"/>
      <c r="J136" s="11"/>
      <c r="K136" s="12"/>
      <c r="L136" s="17"/>
    </row>
    <row r="137" spans="1:12">
      <c r="A137" s="17"/>
      <c r="B137" s="11"/>
      <c r="C137" s="11"/>
      <c r="D137" s="11"/>
      <c r="E137" s="11"/>
      <c r="F137" s="11"/>
      <c r="G137" s="12"/>
      <c r="H137" s="21"/>
      <c r="I137" s="11"/>
      <c r="J137" s="11"/>
      <c r="K137" s="12"/>
      <c r="L137" s="17"/>
    </row>
    <row r="138" spans="1:12">
      <c r="A138" s="17"/>
      <c r="B138" s="11"/>
      <c r="C138" s="11"/>
      <c r="D138" s="11"/>
      <c r="E138" s="11"/>
      <c r="F138" s="11"/>
      <c r="G138" s="12"/>
      <c r="H138" s="21"/>
      <c r="I138" s="11"/>
      <c r="J138" s="11"/>
      <c r="K138" s="12"/>
      <c r="L138" s="17"/>
    </row>
    <row r="139" spans="1:12">
      <c r="A139" s="17"/>
      <c r="B139" s="11"/>
      <c r="C139" s="11"/>
      <c r="D139" s="11"/>
      <c r="E139" s="11"/>
      <c r="F139" s="11"/>
      <c r="G139" s="12"/>
      <c r="H139" s="21"/>
      <c r="I139" s="11"/>
      <c r="J139" s="11"/>
      <c r="K139" s="12"/>
      <c r="L139" s="17"/>
    </row>
    <row r="140" spans="1:12">
      <c r="A140" s="17"/>
      <c r="B140" s="11"/>
      <c r="C140" s="11"/>
      <c r="D140" s="11"/>
      <c r="E140" s="11"/>
      <c r="F140" s="11"/>
      <c r="G140" s="12"/>
      <c r="H140" s="21"/>
      <c r="I140" s="11"/>
      <c r="J140" s="11"/>
      <c r="K140" s="12"/>
      <c r="L140" s="17"/>
    </row>
    <row r="141" spans="1:12">
      <c r="A141" s="17"/>
      <c r="B141" s="11"/>
      <c r="C141" s="11"/>
      <c r="D141" s="11"/>
      <c r="E141" s="11"/>
      <c r="F141" s="11"/>
      <c r="G141" s="12"/>
      <c r="H141" s="21"/>
      <c r="I141" s="11"/>
      <c r="J141" s="11"/>
      <c r="K141" s="12"/>
      <c r="L141" s="17"/>
    </row>
    <row r="142" spans="1:12">
      <c r="A142" s="17"/>
      <c r="B142" s="11"/>
      <c r="C142" s="11"/>
      <c r="D142" s="11"/>
      <c r="E142" s="11"/>
      <c r="F142" s="11"/>
      <c r="G142" s="12"/>
      <c r="H142" s="21"/>
      <c r="I142" s="11"/>
      <c r="J142" s="11"/>
      <c r="K142" s="12"/>
      <c r="L142" s="17"/>
    </row>
    <row r="143" spans="1:12">
      <c r="A143" s="17"/>
      <c r="B143" s="11"/>
      <c r="C143" s="11"/>
      <c r="D143" s="11"/>
      <c r="E143" s="11"/>
      <c r="F143" s="11"/>
      <c r="G143" s="12"/>
      <c r="H143" s="21"/>
      <c r="I143" s="11"/>
      <c r="J143" s="11"/>
      <c r="K143" s="12"/>
      <c r="L143" s="17"/>
    </row>
    <row r="144" spans="1:12">
      <c r="A144" s="17"/>
      <c r="B144" s="11"/>
      <c r="C144" s="11"/>
      <c r="D144" s="11"/>
      <c r="E144" s="11"/>
      <c r="F144" s="11"/>
      <c r="G144" s="12"/>
      <c r="H144" s="21"/>
      <c r="I144" s="11"/>
      <c r="J144" s="11"/>
      <c r="K144" s="12"/>
      <c r="L144" s="17"/>
    </row>
    <row r="145" spans="1:12">
      <c r="A145" s="17"/>
      <c r="B145" s="11"/>
      <c r="C145" s="11"/>
      <c r="D145" s="11"/>
      <c r="E145" s="11"/>
      <c r="F145" s="11"/>
      <c r="G145" s="12"/>
      <c r="H145" s="21"/>
      <c r="I145" s="11"/>
      <c r="J145" s="11"/>
      <c r="K145" s="12"/>
      <c r="L145" s="17"/>
    </row>
    <row r="146" spans="1:12">
      <c r="A146" s="17"/>
      <c r="B146" s="11"/>
      <c r="C146" s="11"/>
      <c r="D146" s="11"/>
      <c r="E146" s="11"/>
      <c r="F146" s="11"/>
      <c r="G146" s="12"/>
      <c r="H146" s="21"/>
      <c r="I146" s="11"/>
      <c r="J146" s="11"/>
      <c r="K146" s="12"/>
      <c r="L146" s="17"/>
    </row>
    <row r="147" spans="1:12">
      <c r="A147" s="17"/>
      <c r="B147" s="11"/>
      <c r="C147" s="11"/>
      <c r="D147" s="11"/>
      <c r="E147" s="11"/>
      <c r="F147" s="11"/>
      <c r="G147" s="12"/>
      <c r="H147" s="21"/>
      <c r="I147" s="11"/>
      <c r="J147" s="11"/>
      <c r="K147" s="12"/>
      <c r="L147" s="17"/>
    </row>
    <row r="148" spans="1:12">
      <c r="A148" s="17"/>
      <c r="B148" s="11"/>
      <c r="C148" s="11"/>
      <c r="D148" s="11"/>
      <c r="E148" s="11"/>
      <c r="F148" s="11"/>
      <c r="G148" s="12"/>
      <c r="H148" s="21"/>
      <c r="I148" s="11"/>
      <c r="J148" s="11"/>
      <c r="K148" s="12"/>
      <c r="L148" s="17"/>
    </row>
    <row r="149" spans="1:12">
      <c r="A149" s="17"/>
      <c r="B149" s="11"/>
      <c r="C149" s="11"/>
      <c r="D149" s="11"/>
      <c r="E149" s="11"/>
      <c r="F149" s="11"/>
      <c r="G149" s="12"/>
      <c r="H149" s="21"/>
      <c r="I149" s="11"/>
      <c r="J149" s="11"/>
      <c r="K149" s="12"/>
      <c r="L149" s="17"/>
    </row>
    <row r="150" spans="1:12">
      <c r="A150" s="17"/>
      <c r="B150" s="11"/>
      <c r="C150" s="11"/>
      <c r="D150" s="11"/>
      <c r="E150" s="11"/>
      <c r="F150" s="11"/>
      <c r="G150" s="12"/>
      <c r="H150" s="21"/>
      <c r="I150" s="11"/>
      <c r="J150" s="11"/>
      <c r="K150" s="12"/>
      <c r="L150" s="17"/>
    </row>
    <row r="151" spans="1:12">
      <c r="A151" s="17"/>
      <c r="B151" s="11"/>
      <c r="C151" s="11"/>
      <c r="D151" s="11"/>
      <c r="E151" s="11"/>
      <c r="F151" s="11"/>
      <c r="G151" s="12"/>
      <c r="H151" s="21"/>
      <c r="I151" s="11"/>
      <c r="J151" s="11"/>
      <c r="K151" s="12"/>
      <c r="L151" s="17"/>
    </row>
    <row r="152" spans="1:12">
      <c r="A152" s="17"/>
      <c r="B152" s="11"/>
      <c r="C152" s="11"/>
      <c r="D152" s="11"/>
      <c r="E152" s="11"/>
      <c r="F152" s="11"/>
      <c r="G152" s="12"/>
      <c r="H152" s="21"/>
      <c r="I152" s="11"/>
      <c r="J152" s="11"/>
      <c r="K152" s="12"/>
      <c r="L152" s="17"/>
    </row>
    <row r="153" spans="1:12">
      <c r="A153" s="17"/>
      <c r="B153" s="11"/>
      <c r="C153" s="11"/>
      <c r="D153" s="11"/>
      <c r="E153" s="11"/>
      <c r="F153" s="11"/>
      <c r="G153" s="12"/>
      <c r="H153" s="21"/>
      <c r="I153" s="11"/>
      <c r="J153" s="11"/>
      <c r="K153" s="12"/>
      <c r="L153" s="17"/>
    </row>
    <row r="154" spans="1:12">
      <c r="A154" s="17"/>
      <c r="B154" s="11"/>
      <c r="C154" s="11"/>
      <c r="D154" s="11"/>
      <c r="E154" s="11"/>
      <c r="F154" s="11"/>
      <c r="G154" s="12"/>
      <c r="H154" s="21"/>
      <c r="I154" s="11"/>
      <c r="J154" s="11"/>
      <c r="K154" s="12"/>
      <c r="L154" s="17"/>
    </row>
    <row r="155" spans="1:12">
      <c r="A155" s="17"/>
      <c r="B155" s="11"/>
      <c r="C155" s="11"/>
      <c r="D155" s="11"/>
      <c r="E155" s="11"/>
      <c r="F155" s="11"/>
      <c r="G155" s="12"/>
      <c r="H155" s="21"/>
      <c r="I155" s="11"/>
      <c r="J155" s="11"/>
      <c r="K155" s="12"/>
      <c r="L155" s="17"/>
    </row>
    <row r="156" spans="1:12">
      <c r="A156" s="17"/>
      <c r="B156" s="11"/>
      <c r="C156" s="11"/>
      <c r="D156" s="11"/>
      <c r="E156" s="11"/>
      <c r="F156" s="11"/>
      <c r="G156" s="12"/>
      <c r="H156" s="21"/>
      <c r="I156" s="11"/>
      <c r="J156" s="11"/>
      <c r="K156" s="12"/>
      <c r="L156" s="17"/>
    </row>
    <row r="157" spans="1:12">
      <c r="A157" s="17"/>
      <c r="B157" s="11"/>
      <c r="C157" s="11"/>
      <c r="D157" s="11"/>
      <c r="E157" s="11"/>
      <c r="F157" s="11"/>
      <c r="G157" s="12"/>
      <c r="H157" s="21"/>
      <c r="I157" s="11"/>
      <c r="J157" s="11"/>
      <c r="K157" s="12"/>
      <c r="L157" s="17"/>
    </row>
    <row r="158" spans="1:12">
      <c r="A158" s="17"/>
      <c r="B158" s="11"/>
      <c r="C158" s="11"/>
      <c r="D158" s="11"/>
      <c r="E158" s="11"/>
      <c r="F158" s="11"/>
      <c r="G158" s="12"/>
      <c r="H158" s="21"/>
      <c r="I158" s="11"/>
      <c r="J158" s="11"/>
      <c r="K158" s="12"/>
      <c r="L158" s="17"/>
    </row>
    <row r="159" spans="1:12">
      <c r="A159" s="17"/>
      <c r="B159" s="11"/>
      <c r="C159" s="11"/>
      <c r="D159" s="11"/>
      <c r="E159" s="11"/>
      <c r="F159" s="11"/>
      <c r="G159" s="12"/>
      <c r="H159" s="21"/>
      <c r="I159" s="11"/>
      <c r="J159" s="11"/>
      <c r="K159" s="12"/>
      <c r="L159" s="17"/>
    </row>
    <row r="160" spans="1:12">
      <c r="A160" s="17"/>
      <c r="B160" s="11"/>
      <c r="C160" s="11"/>
      <c r="D160" s="11"/>
      <c r="E160" s="11"/>
      <c r="F160" s="11"/>
      <c r="G160" s="12"/>
      <c r="H160" s="21"/>
      <c r="I160" s="11"/>
      <c r="J160" s="11"/>
      <c r="K160" s="12"/>
      <c r="L160" s="17"/>
    </row>
    <row r="161" spans="1:12">
      <c r="A161" s="17"/>
      <c r="B161" s="11"/>
      <c r="C161" s="11"/>
      <c r="D161" s="11"/>
      <c r="E161" s="11"/>
      <c r="F161" s="11"/>
      <c r="G161" s="12"/>
      <c r="H161" s="21"/>
      <c r="I161" s="11"/>
      <c r="J161" s="11"/>
      <c r="K161" s="12"/>
      <c r="L161" s="17"/>
    </row>
    <row r="162" spans="1:12">
      <c r="A162" s="17"/>
      <c r="B162" s="11"/>
      <c r="C162" s="11"/>
      <c r="D162" s="11"/>
      <c r="E162" s="11"/>
      <c r="F162" s="11"/>
      <c r="G162" s="12"/>
      <c r="H162" s="21"/>
      <c r="I162" s="11"/>
      <c r="J162" s="11"/>
      <c r="K162" s="12"/>
      <c r="L162" s="17"/>
    </row>
    <row r="163" spans="1:12">
      <c r="A163" s="17"/>
      <c r="B163" s="11"/>
      <c r="C163" s="11"/>
      <c r="D163" s="11"/>
      <c r="E163" s="11"/>
      <c r="F163" s="11"/>
      <c r="G163" s="12"/>
      <c r="H163" s="21"/>
      <c r="I163" s="11"/>
      <c r="J163" s="11"/>
      <c r="K163" s="12"/>
      <c r="L163" s="17"/>
    </row>
    <row r="164" spans="1:12">
      <c r="A164" s="17"/>
      <c r="B164" s="11"/>
      <c r="C164" s="11"/>
      <c r="D164" s="11"/>
      <c r="E164" s="11"/>
      <c r="F164" s="11"/>
      <c r="G164" s="12"/>
      <c r="H164" s="21"/>
      <c r="I164" s="11"/>
      <c r="J164" s="11"/>
      <c r="K164" s="12"/>
      <c r="L164" s="17"/>
    </row>
    <row r="165" spans="1:12">
      <c r="A165" s="17"/>
      <c r="B165" s="11"/>
      <c r="C165" s="11"/>
      <c r="D165" s="11"/>
      <c r="E165" s="11"/>
      <c r="F165" s="11"/>
      <c r="G165" s="12"/>
      <c r="H165" s="21"/>
      <c r="I165" s="11"/>
      <c r="J165" s="11"/>
      <c r="K165" s="12"/>
      <c r="L165" s="17"/>
    </row>
    <row r="166" spans="1:12">
      <c r="A166" s="17"/>
      <c r="B166" s="11"/>
      <c r="C166" s="11"/>
      <c r="D166" s="11"/>
      <c r="E166" s="11"/>
      <c r="F166" s="11"/>
      <c r="G166" s="12"/>
      <c r="H166" s="21"/>
      <c r="I166" s="11"/>
      <c r="J166" s="11"/>
      <c r="K166" s="12"/>
      <c r="L166" s="17"/>
    </row>
    <row r="167" spans="1:12">
      <c r="A167" s="17"/>
      <c r="B167" s="11"/>
      <c r="C167" s="11"/>
      <c r="D167" s="11"/>
      <c r="E167" s="11"/>
      <c r="F167" s="11"/>
      <c r="G167" s="12"/>
      <c r="H167" s="21"/>
      <c r="I167" s="11"/>
      <c r="J167" s="11"/>
      <c r="K167" s="12"/>
      <c r="L167" s="17"/>
    </row>
    <row r="168" spans="1:12">
      <c r="A168" s="17"/>
      <c r="B168" s="11"/>
      <c r="C168" s="11"/>
      <c r="D168" s="11"/>
      <c r="E168" s="11"/>
      <c r="F168" s="11"/>
      <c r="G168" s="12"/>
      <c r="H168" s="21"/>
      <c r="I168" s="11"/>
      <c r="J168" s="11"/>
      <c r="K168" s="12"/>
      <c r="L168" s="17"/>
    </row>
    <row r="169" spans="1:12">
      <c r="A169" s="17"/>
      <c r="B169" s="11"/>
      <c r="C169" s="11"/>
      <c r="D169" s="11"/>
      <c r="E169" s="11"/>
      <c r="F169" s="11"/>
      <c r="G169" s="12"/>
      <c r="H169" s="21"/>
      <c r="I169" s="11"/>
      <c r="J169" s="11"/>
      <c r="K169" s="12"/>
      <c r="L169" s="17"/>
    </row>
    <row r="170" spans="1:12">
      <c r="A170" s="17"/>
      <c r="B170" s="11"/>
      <c r="C170" s="11"/>
      <c r="D170" s="11"/>
      <c r="E170" s="11"/>
      <c r="F170" s="11"/>
      <c r="G170" s="12"/>
      <c r="H170" s="21"/>
      <c r="I170" s="11"/>
      <c r="J170" s="11"/>
      <c r="K170" s="12"/>
      <c r="L170" s="17"/>
    </row>
    <row r="171" spans="1:12">
      <c r="A171" s="17"/>
      <c r="B171" s="11"/>
      <c r="C171" s="11"/>
      <c r="D171" s="11"/>
      <c r="E171" s="11"/>
      <c r="F171" s="11"/>
      <c r="G171" s="12"/>
      <c r="H171" s="21"/>
      <c r="I171" s="11"/>
      <c r="J171" s="11"/>
      <c r="K171" s="12"/>
      <c r="L171" s="17"/>
    </row>
    <row r="172" spans="1:12">
      <c r="A172" s="17"/>
      <c r="B172" s="11"/>
      <c r="C172" s="11"/>
      <c r="D172" s="11"/>
      <c r="E172" s="11"/>
      <c r="F172" s="11"/>
      <c r="G172" s="12"/>
      <c r="H172" s="21"/>
      <c r="I172" s="11"/>
      <c r="J172" s="11"/>
      <c r="K172" s="12"/>
      <c r="L172" s="17"/>
    </row>
    <row r="173" spans="1:12">
      <c r="A173" s="17"/>
      <c r="B173" s="11"/>
      <c r="C173" s="11"/>
      <c r="D173" s="11"/>
      <c r="E173" s="11"/>
      <c r="F173" s="11"/>
      <c r="G173" s="12"/>
      <c r="H173" s="21"/>
      <c r="I173" s="11"/>
      <c r="J173" s="11"/>
      <c r="K173" s="12"/>
      <c r="L173" s="17"/>
    </row>
    <row r="174" spans="1:12">
      <c r="A174" s="17"/>
      <c r="B174" s="11"/>
      <c r="C174" s="11"/>
      <c r="D174" s="11"/>
      <c r="E174" s="11"/>
      <c r="F174" s="11"/>
      <c r="G174" s="12"/>
      <c r="H174" s="21"/>
      <c r="I174" s="11"/>
      <c r="J174" s="11"/>
      <c r="K174" s="12"/>
      <c r="L174" s="17"/>
    </row>
    <row r="175" spans="1:12">
      <c r="A175" s="17"/>
      <c r="B175" s="11"/>
      <c r="C175" s="11"/>
      <c r="D175" s="11"/>
      <c r="E175" s="11"/>
      <c r="F175" s="11"/>
      <c r="G175" s="12"/>
      <c r="H175" s="21"/>
      <c r="I175" s="11"/>
      <c r="J175" s="11"/>
      <c r="K175" s="12"/>
      <c r="L175" s="17"/>
    </row>
    <row r="176" spans="1:12">
      <c r="A176" s="17"/>
      <c r="B176" s="11"/>
      <c r="C176" s="11"/>
      <c r="D176" s="11"/>
      <c r="E176" s="11"/>
      <c r="F176" s="11"/>
      <c r="G176" s="12"/>
      <c r="H176" s="21"/>
      <c r="I176" s="11"/>
      <c r="J176" s="11"/>
      <c r="K176" s="12"/>
      <c r="L176" s="17"/>
    </row>
    <row r="177" spans="1:12">
      <c r="A177" s="17"/>
      <c r="B177" s="11"/>
      <c r="C177" s="11"/>
      <c r="D177" s="11"/>
      <c r="E177" s="11"/>
      <c r="F177" s="11"/>
      <c r="G177" s="12"/>
      <c r="H177" s="21"/>
      <c r="I177" s="11"/>
      <c r="J177" s="11"/>
      <c r="K177" s="12"/>
      <c r="L177" s="17"/>
    </row>
    <row r="178" spans="1:12">
      <c r="A178" s="17"/>
      <c r="B178" s="11"/>
      <c r="C178" s="11"/>
      <c r="D178" s="11"/>
      <c r="E178" s="11"/>
      <c r="F178" s="11"/>
      <c r="G178" s="12"/>
      <c r="H178" s="21"/>
      <c r="I178" s="11"/>
      <c r="J178" s="11"/>
      <c r="K178" s="12"/>
      <c r="L178" s="17"/>
    </row>
    <row r="179" spans="1:12">
      <c r="A179" s="17"/>
      <c r="B179" s="11"/>
      <c r="C179" s="11"/>
      <c r="D179" s="11"/>
      <c r="E179" s="11"/>
      <c r="F179" s="11"/>
      <c r="G179" s="12"/>
      <c r="H179" s="21"/>
      <c r="I179" s="11"/>
      <c r="J179" s="11"/>
      <c r="K179" s="12"/>
      <c r="L179" s="17"/>
    </row>
    <row r="180" spans="1:12">
      <c r="A180" s="17"/>
      <c r="B180" s="11"/>
      <c r="C180" s="11"/>
      <c r="D180" s="11"/>
      <c r="E180" s="11"/>
      <c r="F180" s="11"/>
      <c r="G180" s="12"/>
      <c r="H180" s="21"/>
      <c r="I180" s="11"/>
      <c r="J180" s="11"/>
      <c r="K180" s="12"/>
      <c r="L180" s="17"/>
    </row>
    <row r="181" spans="1:12">
      <c r="A181" s="17"/>
      <c r="B181" s="11"/>
      <c r="C181" s="11"/>
      <c r="D181" s="11"/>
      <c r="E181" s="11"/>
      <c r="F181" s="11"/>
      <c r="G181" s="12"/>
      <c r="H181" s="21"/>
      <c r="I181" s="11"/>
      <c r="J181" s="11"/>
      <c r="K181" s="12"/>
      <c r="L181" s="17"/>
    </row>
    <row r="182" spans="1:12">
      <c r="A182" s="17"/>
      <c r="B182" s="11"/>
      <c r="C182" s="11"/>
      <c r="D182" s="11"/>
      <c r="E182" s="11"/>
      <c r="F182" s="11"/>
      <c r="G182" s="12"/>
      <c r="H182" s="21"/>
      <c r="I182" s="11"/>
      <c r="J182" s="11"/>
      <c r="K182" s="12"/>
      <c r="L182" s="17"/>
    </row>
    <row r="183" spans="1:12">
      <c r="A183" s="17"/>
      <c r="B183" s="11"/>
      <c r="C183" s="11"/>
      <c r="D183" s="11"/>
      <c r="E183" s="11"/>
      <c r="F183" s="11"/>
      <c r="G183" s="12"/>
      <c r="H183" s="21"/>
      <c r="I183" s="11"/>
      <c r="J183" s="11"/>
      <c r="K183" s="12"/>
      <c r="L183" s="17"/>
    </row>
    <row r="184" spans="1:12">
      <c r="A184" s="17"/>
      <c r="B184" s="11"/>
      <c r="C184" s="11"/>
      <c r="D184" s="11"/>
      <c r="E184" s="11"/>
      <c r="F184" s="11"/>
      <c r="G184" s="12"/>
      <c r="H184" s="21"/>
      <c r="I184" s="11"/>
      <c r="J184" s="11"/>
      <c r="K184" s="12"/>
      <c r="L184" s="17"/>
    </row>
    <row r="185" spans="1:12">
      <c r="A185" s="17"/>
      <c r="B185" s="11"/>
      <c r="C185" s="11"/>
      <c r="D185" s="11"/>
      <c r="E185" s="11"/>
      <c r="F185" s="11"/>
      <c r="G185" s="12"/>
      <c r="H185" s="21"/>
      <c r="I185" s="11"/>
      <c r="J185" s="11"/>
      <c r="K185" s="12"/>
      <c r="L185" s="17"/>
    </row>
    <row r="186" spans="1:12">
      <c r="A186" s="17"/>
      <c r="B186" s="11"/>
      <c r="C186" s="11"/>
      <c r="D186" s="11"/>
      <c r="E186" s="11"/>
      <c r="F186" s="11"/>
      <c r="G186" s="12"/>
      <c r="H186" s="21"/>
      <c r="I186" s="11"/>
      <c r="J186" s="11"/>
      <c r="K186" s="12"/>
      <c r="L186" s="17"/>
    </row>
    <row r="187" spans="1:12">
      <c r="A187" s="17"/>
      <c r="B187" s="11"/>
      <c r="C187" s="11"/>
      <c r="D187" s="11"/>
      <c r="E187" s="11"/>
      <c r="F187" s="11"/>
      <c r="G187" s="12"/>
      <c r="H187" s="21"/>
      <c r="I187" s="11"/>
      <c r="J187" s="11"/>
      <c r="K187" s="12"/>
      <c r="L187" s="17"/>
    </row>
    <row r="188" spans="1:12">
      <c r="A188" s="17"/>
      <c r="B188" s="11"/>
      <c r="C188" s="11"/>
      <c r="D188" s="11"/>
      <c r="E188" s="11"/>
      <c r="F188" s="11"/>
      <c r="G188" s="12"/>
      <c r="H188" s="21"/>
      <c r="I188" s="11"/>
      <c r="J188" s="11"/>
      <c r="K188" s="12"/>
      <c r="L188" s="17"/>
    </row>
    <row r="189" spans="1:12">
      <c r="A189" s="17"/>
      <c r="B189" s="11"/>
      <c r="C189" s="11"/>
      <c r="D189" s="11"/>
      <c r="E189" s="11"/>
      <c r="F189" s="11"/>
      <c r="G189" s="12"/>
      <c r="H189" s="21"/>
      <c r="I189" s="11"/>
      <c r="J189" s="11"/>
      <c r="K189" s="12"/>
      <c r="L189" s="17"/>
    </row>
    <row r="190" spans="1:12">
      <c r="A190" s="17"/>
      <c r="B190" s="11"/>
      <c r="C190" s="11"/>
      <c r="D190" s="11"/>
      <c r="E190" s="11"/>
      <c r="F190" s="11"/>
      <c r="G190" s="12"/>
      <c r="H190" s="21"/>
      <c r="I190" s="11"/>
      <c r="J190" s="11"/>
      <c r="K190" s="12"/>
      <c r="L190" s="17"/>
    </row>
    <row r="191" spans="1:12">
      <c r="A191" s="17"/>
      <c r="B191" s="11"/>
      <c r="C191" s="11"/>
      <c r="D191" s="11"/>
      <c r="E191" s="11"/>
      <c r="F191" s="11"/>
      <c r="G191" s="12"/>
      <c r="H191" s="21"/>
      <c r="I191" s="11"/>
      <c r="J191" s="11"/>
      <c r="K191" s="12"/>
      <c r="L191" s="17"/>
    </row>
    <row r="192" spans="1:12">
      <c r="A192" s="17"/>
      <c r="B192" s="11"/>
      <c r="C192" s="11"/>
      <c r="D192" s="11"/>
      <c r="E192" s="11"/>
      <c r="F192" s="11"/>
      <c r="G192" s="12"/>
      <c r="H192" s="21"/>
      <c r="I192" s="11"/>
      <c r="J192" s="11"/>
      <c r="K192" s="12"/>
      <c r="L192" s="17"/>
    </row>
    <row r="193" spans="1:12">
      <c r="A193" s="17"/>
      <c r="B193" s="11"/>
      <c r="C193" s="11"/>
      <c r="D193" s="11"/>
      <c r="E193" s="11"/>
      <c r="F193" s="11"/>
      <c r="G193" s="12"/>
      <c r="H193" s="21"/>
      <c r="I193" s="11"/>
      <c r="J193" s="11"/>
      <c r="K193" s="12"/>
      <c r="L193" s="17"/>
    </row>
    <row r="194" spans="1:12">
      <c r="A194" s="17"/>
      <c r="B194" s="11"/>
      <c r="C194" s="11"/>
      <c r="D194" s="11"/>
      <c r="E194" s="11"/>
      <c r="F194" s="11"/>
      <c r="G194" s="12"/>
      <c r="H194" s="21"/>
      <c r="I194" s="11"/>
      <c r="J194" s="11"/>
      <c r="K194" s="12"/>
      <c r="L194" s="17"/>
    </row>
    <row r="195" spans="1:12">
      <c r="A195" s="17"/>
      <c r="B195" s="11"/>
      <c r="C195" s="11"/>
      <c r="D195" s="11"/>
      <c r="E195" s="11"/>
      <c r="F195" s="11"/>
      <c r="G195" s="12"/>
      <c r="H195" s="21"/>
      <c r="I195" s="11"/>
      <c r="J195" s="11"/>
      <c r="K195" s="12"/>
      <c r="L195" s="17"/>
    </row>
    <row r="196" spans="1:12">
      <c r="A196" s="17"/>
      <c r="B196" s="11"/>
      <c r="C196" s="11"/>
      <c r="D196" s="11"/>
      <c r="E196" s="11"/>
      <c r="F196" s="11"/>
      <c r="G196" s="12"/>
      <c r="H196" s="21"/>
      <c r="I196" s="11"/>
      <c r="J196" s="11"/>
      <c r="K196" s="12"/>
      <c r="L196" s="17"/>
    </row>
    <row r="197" spans="1:12">
      <c r="A197" s="17"/>
      <c r="B197" s="11"/>
      <c r="C197" s="11"/>
      <c r="D197" s="11"/>
      <c r="E197" s="11"/>
      <c r="F197" s="11"/>
      <c r="G197" s="12"/>
      <c r="H197" s="21"/>
      <c r="I197" s="11"/>
      <c r="J197" s="11"/>
      <c r="K197" s="12"/>
      <c r="L197" s="17"/>
    </row>
    <row r="198" spans="1:12">
      <c r="A198" s="17"/>
      <c r="B198" s="11"/>
      <c r="C198" s="11"/>
      <c r="D198" s="11"/>
      <c r="E198" s="11"/>
      <c r="F198" s="11"/>
      <c r="G198" s="12"/>
      <c r="H198" s="21"/>
      <c r="I198" s="11"/>
      <c r="J198" s="11"/>
      <c r="K198" s="12"/>
      <c r="L198" s="17"/>
    </row>
    <row r="199" spans="1:12">
      <c r="A199" s="17"/>
      <c r="B199" s="11"/>
      <c r="C199" s="11"/>
      <c r="D199" s="11"/>
      <c r="E199" s="11"/>
      <c r="F199" s="11"/>
      <c r="G199" s="12"/>
      <c r="H199" s="21"/>
      <c r="I199" s="11"/>
      <c r="J199" s="11"/>
      <c r="K199" s="12"/>
      <c r="L199" s="17"/>
    </row>
    <row r="200" spans="1:12">
      <c r="A200" s="17"/>
      <c r="B200" s="11"/>
      <c r="C200" s="11"/>
      <c r="D200" s="11"/>
      <c r="E200" s="11"/>
      <c r="F200" s="11"/>
      <c r="G200" s="12"/>
      <c r="H200" s="21"/>
      <c r="I200" s="11"/>
      <c r="J200" s="11"/>
      <c r="K200" s="12"/>
      <c r="L200" s="17"/>
    </row>
    <row r="201" spans="1:12">
      <c r="A201" s="17"/>
      <c r="B201" s="11"/>
      <c r="C201" s="11"/>
      <c r="D201" s="11"/>
      <c r="E201" s="11"/>
      <c r="F201" s="11"/>
      <c r="G201" s="12"/>
      <c r="H201" s="21"/>
      <c r="I201" s="11"/>
      <c r="J201" s="11"/>
      <c r="K201" s="12"/>
      <c r="L201" s="17"/>
    </row>
    <row r="202" spans="1:12">
      <c r="A202" s="17"/>
      <c r="B202" s="11"/>
      <c r="C202" s="11"/>
      <c r="D202" s="11"/>
      <c r="E202" s="11"/>
      <c r="F202" s="11"/>
      <c r="G202" s="12"/>
      <c r="H202" s="21"/>
      <c r="I202" s="11"/>
      <c r="J202" s="11"/>
      <c r="K202" s="12"/>
      <c r="L202" s="17"/>
    </row>
    <row r="203" spans="1:12">
      <c r="A203" s="17"/>
      <c r="B203" s="11"/>
      <c r="C203" s="11"/>
      <c r="D203" s="11"/>
      <c r="E203" s="11"/>
      <c r="F203" s="11"/>
      <c r="G203" s="12"/>
      <c r="H203" s="21"/>
      <c r="I203" s="11"/>
      <c r="J203" s="11"/>
      <c r="K203" s="12"/>
      <c r="L203" s="17"/>
    </row>
    <row r="204" spans="1:12">
      <c r="A204" s="17"/>
      <c r="B204" s="11"/>
      <c r="C204" s="11"/>
      <c r="D204" s="11"/>
      <c r="E204" s="11"/>
      <c r="F204" s="11"/>
      <c r="G204" s="12"/>
      <c r="H204" s="21"/>
      <c r="I204" s="11"/>
      <c r="J204" s="11"/>
      <c r="K204" s="12"/>
      <c r="L204" s="17"/>
    </row>
    <row r="205" spans="1:12">
      <c r="A205" s="17"/>
      <c r="B205" s="11"/>
      <c r="C205" s="11"/>
      <c r="D205" s="11"/>
      <c r="E205" s="11"/>
      <c r="F205" s="11"/>
      <c r="G205" s="12"/>
      <c r="H205" s="21"/>
      <c r="I205" s="11"/>
      <c r="J205" s="11"/>
      <c r="K205" s="12"/>
      <c r="L205" s="17"/>
    </row>
    <row r="206" spans="1:12">
      <c r="A206" s="17"/>
      <c r="B206" s="11"/>
      <c r="C206" s="11"/>
      <c r="D206" s="11"/>
      <c r="E206" s="11"/>
      <c r="F206" s="11"/>
      <c r="G206" s="12"/>
      <c r="H206" s="21"/>
      <c r="I206" s="11"/>
      <c r="J206" s="11"/>
      <c r="K206" s="12"/>
      <c r="L206" s="17"/>
    </row>
    <row r="207" spans="1:12">
      <c r="A207" s="17"/>
      <c r="B207" s="11"/>
      <c r="C207" s="11"/>
      <c r="D207" s="11"/>
      <c r="E207" s="11"/>
      <c r="F207" s="11"/>
      <c r="G207" s="12"/>
      <c r="H207" s="21"/>
      <c r="I207" s="11"/>
      <c r="J207" s="11"/>
      <c r="K207" s="12"/>
      <c r="L207" s="17"/>
    </row>
    <row r="208" spans="1:12">
      <c r="A208" s="17"/>
      <c r="B208" s="11"/>
      <c r="C208" s="11"/>
      <c r="D208" s="11"/>
      <c r="E208" s="11"/>
      <c r="F208" s="11"/>
      <c r="G208" s="12"/>
      <c r="H208" s="21"/>
      <c r="I208" s="11"/>
      <c r="J208" s="11"/>
      <c r="K208" s="12"/>
      <c r="L208" s="17"/>
    </row>
    <row r="209" spans="1:12">
      <c r="A209" s="17"/>
      <c r="B209" s="11"/>
      <c r="C209" s="11"/>
      <c r="D209" s="11"/>
      <c r="E209" s="11"/>
      <c r="F209" s="11"/>
      <c r="G209" s="12"/>
      <c r="H209" s="21"/>
      <c r="I209" s="11"/>
      <c r="J209" s="11"/>
      <c r="K209" s="12"/>
      <c r="L209" s="17"/>
    </row>
    <row r="210" spans="1:12">
      <c r="A210" s="17"/>
      <c r="B210" s="11"/>
      <c r="C210" s="11"/>
      <c r="D210" s="11"/>
      <c r="E210" s="11"/>
      <c r="F210" s="11"/>
      <c r="G210" s="12"/>
      <c r="H210" s="21"/>
      <c r="I210" s="11"/>
      <c r="J210" s="11"/>
      <c r="K210" s="12"/>
      <c r="L210" s="17"/>
    </row>
    <row r="211" spans="1:12">
      <c r="A211" s="17"/>
      <c r="B211" s="11"/>
      <c r="C211" s="11"/>
      <c r="D211" s="11"/>
      <c r="E211" s="11"/>
      <c r="F211" s="11"/>
      <c r="G211" s="12"/>
      <c r="H211" s="21"/>
      <c r="I211" s="11"/>
      <c r="J211" s="11"/>
      <c r="K211" s="12"/>
      <c r="L211" s="17"/>
    </row>
    <row r="212" spans="1:12">
      <c r="A212" s="17"/>
      <c r="B212" s="11"/>
      <c r="C212" s="11"/>
      <c r="D212" s="11"/>
      <c r="E212" s="11"/>
      <c r="F212" s="11"/>
      <c r="G212" s="12"/>
      <c r="H212" s="21"/>
      <c r="I212" s="11"/>
      <c r="J212" s="11"/>
      <c r="K212" s="12"/>
      <c r="L212" s="17"/>
    </row>
    <row r="213" spans="1:12">
      <c r="A213" s="17"/>
      <c r="B213" s="11"/>
      <c r="C213" s="11"/>
      <c r="D213" s="11"/>
      <c r="E213" s="11"/>
      <c r="F213" s="11"/>
      <c r="G213" s="12"/>
      <c r="H213" s="21"/>
      <c r="I213" s="11"/>
      <c r="J213" s="11"/>
      <c r="K213" s="12"/>
      <c r="L213" s="17"/>
    </row>
    <row r="214" spans="1:12">
      <c r="A214" s="17"/>
      <c r="B214" s="11"/>
      <c r="C214" s="11"/>
      <c r="D214" s="11"/>
      <c r="E214" s="11"/>
      <c r="F214" s="11"/>
      <c r="G214" s="12"/>
      <c r="H214" s="21"/>
      <c r="I214" s="11"/>
      <c r="J214" s="11"/>
      <c r="K214" s="12"/>
      <c r="L214" s="17"/>
    </row>
    <row r="215" spans="1:12">
      <c r="A215" s="17"/>
      <c r="B215" s="11"/>
      <c r="C215" s="11"/>
      <c r="D215" s="11"/>
      <c r="E215" s="11"/>
      <c r="F215" s="11"/>
      <c r="G215" s="12"/>
      <c r="H215" s="21"/>
      <c r="I215" s="11"/>
      <c r="J215" s="11"/>
      <c r="K215" s="12"/>
      <c r="L215" s="17"/>
    </row>
    <row r="216" spans="1:12">
      <c r="A216" s="17"/>
      <c r="B216" s="11"/>
      <c r="C216" s="11"/>
      <c r="D216" s="11"/>
      <c r="E216" s="11"/>
      <c r="F216" s="11"/>
      <c r="G216" s="12"/>
      <c r="H216" s="21"/>
      <c r="I216" s="11"/>
      <c r="J216" s="11"/>
      <c r="K216" s="12"/>
      <c r="L216" s="17"/>
    </row>
    <row r="217" spans="1:12">
      <c r="A217" s="17"/>
      <c r="B217" s="11"/>
      <c r="C217" s="11"/>
      <c r="D217" s="11"/>
      <c r="E217" s="11"/>
      <c r="F217" s="11"/>
      <c r="G217" s="12"/>
      <c r="H217" s="21"/>
      <c r="I217" s="11"/>
      <c r="J217" s="11"/>
      <c r="K217" s="12"/>
      <c r="L217" s="17"/>
    </row>
    <row r="218" spans="1:12">
      <c r="A218" s="17"/>
      <c r="B218" s="11"/>
      <c r="C218" s="11"/>
      <c r="D218" s="11"/>
      <c r="E218" s="11"/>
      <c r="F218" s="11"/>
      <c r="G218" s="12"/>
      <c r="H218" s="21"/>
      <c r="I218" s="11"/>
      <c r="J218" s="11"/>
      <c r="K218" s="12"/>
      <c r="L218" s="17"/>
    </row>
    <row r="219" spans="1:12">
      <c r="A219" s="17"/>
      <c r="B219" s="11"/>
      <c r="C219" s="11"/>
      <c r="D219" s="11"/>
      <c r="E219" s="11"/>
      <c r="F219" s="11"/>
      <c r="G219" s="12"/>
      <c r="H219" s="21"/>
      <c r="I219" s="11"/>
      <c r="J219" s="11"/>
      <c r="K219" s="12"/>
      <c r="L219" s="17"/>
    </row>
    <row r="220" spans="1:12">
      <c r="A220" s="17"/>
      <c r="B220" s="11"/>
      <c r="C220" s="11"/>
      <c r="D220" s="11"/>
      <c r="E220" s="11"/>
      <c r="F220" s="11"/>
      <c r="G220" s="12"/>
      <c r="H220" s="21"/>
      <c r="I220" s="11"/>
      <c r="J220" s="11"/>
      <c r="K220" s="12"/>
      <c r="L220" s="17"/>
    </row>
    <row r="221" spans="1:12">
      <c r="A221" s="17"/>
      <c r="B221" s="11"/>
      <c r="C221" s="11"/>
      <c r="D221" s="11"/>
      <c r="E221" s="11"/>
      <c r="F221" s="11"/>
      <c r="G221" s="12"/>
      <c r="H221" s="21"/>
      <c r="I221" s="11"/>
      <c r="J221" s="11"/>
      <c r="K221" s="12"/>
      <c r="L221" s="17"/>
    </row>
    <row r="222" spans="1:12">
      <c r="A222" s="17"/>
      <c r="B222" s="11"/>
      <c r="C222" s="11"/>
      <c r="D222" s="11"/>
      <c r="E222" s="11"/>
      <c r="F222" s="11"/>
      <c r="G222" s="12"/>
      <c r="H222" s="21"/>
      <c r="I222" s="11"/>
      <c r="J222" s="11"/>
      <c r="K222" s="12"/>
      <c r="L222" s="17"/>
    </row>
    <row r="223" spans="1:12">
      <c r="A223" s="17"/>
      <c r="B223" s="11"/>
      <c r="C223" s="11"/>
      <c r="D223" s="11"/>
      <c r="E223" s="11"/>
      <c r="F223" s="11"/>
      <c r="G223" s="12"/>
      <c r="H223" s="21"/>
      <c r="I223" s="11"/>
      <c r="J223" s="11"/>
      <c r="K223" s="12"/>
      <c r="L223" s="17"/>
    </row>
    <row r="224" spans="1:12">
      <c r="A224" s="17"/>
      <c r="B224" s="11"/>
      <c r="C224" s="11"/>
      <c r="D224" s="11"/>
      <c r="E224" s="11"/>
      <c r="F224" s="11"/>
      <c r="G224" s="12"/>
      <c r="H224" s="21"/>
      <c r="I224" s="11"/>
      <c r="J224" s="11"/>
      <c r="K224" s="12"/>
      <c r="L224" s="17"/>
    </row>
    <row r="225" spans="1:12">
      <c r="A225" s="17"/>
      <c r="B225" s="11"/>
      <c r="C225" s="11"/>
      <c r="D225" s="11"/>
      <c r="E225" s="11"/>
      <c r="F225" s="11"/>
      <c r="G225" s="12"/>
      <c r="H225" s="21"/>
      <c r="I225" s="11"/>
      <c r="J225" s="11"/>
      <c r="K225" s="12"/>
      <c r="L225" s="17"/>
    </row>
    <row r="226" spans="1:12">
      <c r="A226" s="17"/>
      <c r="B226" s="11"/>
      <c r="C226" s="11"/>
      <c r="D226" s="11"/>
      <c r="E226" s="11"/>
      <c r="F226" s="11"/>
      <c r="G226" s="12"/>
      <c r="H226" s="21"/>
      <c r="I226" s="11"/>
      <c r="J226" s="11"/>
      <c r="K226" s="12"/>
      <c r="L226" s="17"/>
    </row>
    <row r="227" spans="1:12">
      <c r="A227" s="17"/>
      <c r="B227" s="11"/>
      <c r="C227" s="11"/>
      <c r="D227" s="11"/>
      <c r="E227" s="11"/>
      <c r="F227" s="11"/>
      <c r="G227" s="12"/>
      <c r="H227" s="21"/>
      <c r="I227" s="11"/>
      <c r="J227" s="11"/>
      <c r="K227" s="12"/>
      <c r="L227" s="17"/>
    </row>
    <row r="228" spans="1:12">
      <c r="A228" s="17"/>
      <c r="B228" s="11"/>
      <c r="C228" s="11"/>
      <c r="D228" s="11"/>
      <c r="E228" s="11"/>
      <c r="F228" s="11"/>
      <c r="G228" s="12"/>
      <c r="H228" s="21"/>
      <c r="I228" s="11"/>
      <c r="J228" s="11"/>
      <c r="K228" s="12"/>
      <c r="L228" s="17"/>
    </row>
    <row r="229" spans="1:12">
      <c r="A229" s="17"/>
      <c r="B229" s="11"/>
      <c r="C229" s="11"/>
      <c r="D229" s="11"/>
      <c r="E229" s="11"/>
      <c r="F229" s="11"/>
      <c r="G229" s="12"/>
      <c r="H229" s="21"/>
      <c r="I229" s="11"/>
      <c r="J229" s="11"/>
      <c r="K229" s="12"/>
      <c r="L229" s="17"/>
    </row>
    <row r="230" spans="1:12">
      <c r="A230" s="17"/>
      <c r="B230" s="11"/>
      <c r="C230" s="11"/>
      <c r="D230" s="11"/>
      <c r="E230" s="11"/>
      <c r="F230" s="11"/>
      <c r="G230" s="12"/>
      <c r="H230" s="21"/>
      <c r="I230" s="11"/>
      <c r="J230" s="11"/>
      <c r="K230" s="12"/>
      <c r="L230" s="17"/>
    </row>
    <row r="231" spans="1:12">
      <c r="A231" s="17"/>
      <c r="B231" s="11"/>
      <c r="C231" s="11"/>
      <c r="D231" s="11"/>
      <c r="E231" s="11"/>
      <c r="F231" s="11"/>
      <c r="G231" s="12"/>
      <c r="H231" s="21"/>
      <c r="I231" s="11"/>
      <c r="J231" s="11"/>
      <c r="K231" s="12"/>
      <c r="L231" s="17"/>
    </row>
    <row r="232" spans="1:12">
      <c r="A232" s="17"/>
      <c r="B232" s="11"/>
      <c r="C232" s="11"/>
      <c r="D232" s="11"/>
      <c r="E232" s="11"/>
      <c r="F232" s="11"/>
      <c r="G232" s="12"/>
      <c r="H232" s="21"/>
      <c r="I232" s="11"/>
      <c r="J232" s="11"/>
      <c r="K232" s="12"/>
      <c r="L232" s="17"/>
    </row>
    <row r="233" spans="1:12">
      <c r="A233" s="17"/>
      <c r="B233" s="11"/>
      <c r="C233" s="11"/>
      <c r="D233" s="11"/>
      <c r="E233" s="11"/>
      <c r="F233" s="11"/>
      <c r="G233" s="12"/>
      <c r="H233" s="21"/>
      <c r="I233" s="11"/>
      <c r="J233" s="11"/>
      <c r="K233" s="12"/>
      <c r="L233" s="17"/>
    </row>
    <row r="234" spans="1:12">
      <c r="A234" s="17"/>
      <c r="B234" s="11"/>
      <c r="C234" s="11"/>
      <c r="D234" s="11"/>
      <c r="E234" s="11"/>
      <c r="F234" s="11"/>
      <c r="G234" s="12"/>
      <c r="H234" s="21"/>
      <c r="I234" s="11"/>
      <c r="J234" s="11"/>
      <c r="K234" s="12"/>
      <c r="L234" s="17"/>
    </row>
    <row r="235" spans="1:12">
      <c r="A235" s="17"/>
      <c r="B235" s="11"/>
      <c r="C235" s="11"/>
      <c r="D235" s="11"/>
      <c r="E235" s="11"/>
      <c r="F235" s="11"/>
      <c r="G235" s="12"/>
      <c r="H235" s="21"/>
      <c r="I235" s="11"/>
      <c r="J235" s="11"/>
      <c r="K235" s="12"/>
      <c r="L235" s="17"/>
    </row>
    <row r="236" spans="1:12">
      <c r="A236" s="17"/>
      <c r="B236" s="11"/>
      <c r="C236" s="11"/>
      <c r="D236" s="11"/>
      <c r="E236" s="11"/>
      <c r="F236" s="11"/>
      <c r="G236" s="12"/>
      <c r="H236" s="21"/>
      <c r="I236" s="11"/>
      <c r="J236" s="11"/>
      <c r="K236" s="12"/>
      <c r="L236" s="17"/>
    </row>
    <row r="237" spans="1:12">
      <c r="A237" s="17"/>
      <c r="B237" s="17"/>
      <c r="C237" s="17"/>
      <c r="D237" s="17"/>
      <c r="E237" s="17"/>
      <c r="F237" s="17"/>
      <c r="G237" s="18"/>
      <c r="H237" s="21"/>
      <c r="I237" s="17"/>
      <c r="J237" s="17"/>
      <c r="K237" s="18"/>
      <c r="L237" s="17"/>
    </row>
  </sheetData>
  <mergeCells count="1">
    <mergeCell ref="A1:L1"/>
  </mergeCells>
  <conditionalFormatting sqref="J3:J32">
    <cfRule type="expression" dxfId="10" priority="7">
      <formula>J3="Yes"</formula>
    </cfRule>
    <cfRule type="expression" dxfId="9" priority="8">
      <formula>J3="No"</formula>
    </cfRule>
  </conditionalFormatting>
  <conditionalFormatting sqref="J33:J34">
    <cfRule type="expression" dxfId="8" priority="11">
      <formula>J33="Yes"</formula>
    </cfRule>
    <cfRule type="expression" dxfId="7" priority="12">
      <formula>J33="No"</formula>
    </cfRule>
  </conditionalFormatting>
  <conditionalFormatting sqref="J36:J237">
    <cfRule type="expression" dxfId="6" priority="1">
      <formula>J36="Yes"</formula>
    </cfRule>
    <cfRule type="expression" dxfId="5" priority="2">
      <formula>J36="No"</formula>
    </cfRule>
  </conditionalFormatting>
  <dataValidations count="2">
    <dataValidation type="list" sqref="C34:C42 C70:C80 C55:C60 C3:C27 C32 C53 C68 C87:C237" xr:uid="{00000000-0002-0000-0300-000000000000}">
      <formula1>"Unit 1 / Phase 1,Phase 2,Phase 3,Final"</formula1>
    </dataValidation>
    <dataValidation type="list" sqref="J3:J34 J36:J237" xr:uid="{00000000-0002-0000-0300-000001000000}">
      <formula1>"Yes,No"</formula1>
    </dataValidation>
  </dataValidations>
  <hyperlinks>
    <hyperlink ref="E11" r:id="rId1" xr:uid="{00000000-0004-0000-0300-000000000000}"/>
    <hyperlink ref="E12" r:id="rId2" xr:uid="{00000000-0004-0000-0300-000001000000}"/>
    <hyperlink ref="F26" r:id="rId3" xr:uid="{00000000-0004-0000-0300-000002000000}"/>
    <hyperlink ref="I72" r:id="rId4" xr:uid="{00000000-0004-0000-0300-000003000000}"/>
    <hyperlink ref="I84" r:id="rId5" xr:uid="{00000000-0004-0000-0300-000004000000}"/>
    <hyperlink ref="F86" r:id="rId6" xr:uid="{00000000-0004-0000-0300-000005000000}"/>
  </hyperlinks>
  <pageMargins left="0.7" right="0.7" top="0.75" bottom="0.75" header="0.3" footer="0.3"/>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7"/>
  <sheetViews>
    <sheetView tabSelected="1" topLeftCell="A6" zoomScale="54" workbookViewId="0">
      <selection sqref="A1:I1"/>
    </sheetView>
  </sheetViews>
  <sheetFormatPr defaultRowHeight="13.8"/>
  <cols>
    <col min="1" max="1" width="18.69921875" customWidth="1"/>
    <col min="2" max="2" width="19" customWidth="1"/>
    <col min="3" max="3" width="18" customWidth="1"/>
    <col min="4" max="6" width="28" customWidth="1"/>
    <col min="7" max="7" width="42" customWidth="1"/>
    <col min="8" max="8" width="32" customWidth="1"/>
    <col min="9" max="9" width="34" customWidth="1"/>
  </cols>
  <sheetData>
    <row r="1" spans="1:9" ht="16.05" customHeight="1">
      <c r="A1" s="43" t="s">
        <v>551</v>
      </c>
      <c r="B1" s="43"/>
      <c r="C1" s="43"/>
      <c r="D1" s="43"/>
      <c r="E1" s="43"/>
      <c r="F1" s="43"/>
      <c r="G1" s="43"/>
      <c r="H1" s="43"/>
      <c r="I1" s="43"/>
    </row>
    <row r="2" spans="1:9" ht="27.6">
      <c r="A2" s="1" t="s">
        <v>552</v>
      </c>
      <c r="B2" s="14" t="s">
        <v>76</v>
      </c>
      <c r="C2" s="14" t="s">
        <v>553</v>
      </c>
      <c r="D2" s="14" t="s">
        <v>3</v>
      </c>
      <c r="E2" s="14" t="s">
        <v>554</v>
      </c>
      <c r="F2" s="14" t="s">
        <v>555</v>
      </c>
      <c r="G2" s="14" t="s">
        <v>556</v>
      </c>
      <c r="H2" s="14" t="s">
        <v>557</v>
      </c>
      <c r="I2" s="2" t="s">
        <v>84</v>
      </c>
    </row>
    <row r="3" spans="1:9" ht="331.2">
      <c r="A3" s="22">
        <v>46252</v>
      </c>
      <c r="B3" s="11" t="s">
        <v>32</v>
      </c>
      <c r="C3" s="11" t="s">
        <v>558</v>
      </c>
      <c r="D3" s="11" t="s">
        <v>559</v>
      </c>
      <c r="E3" s="11" t="s">
        <v>107</v>
      </c>
      <c r="F3" s="11" t="s">
        <v>560</v>
      </c>
      <c r="G3" s="11" t="s">
        <v>561</v>
      </c>
      <c r="H3" s="11" t="s">
        <v>562</v>
      </c>
      <c r="I3" s="16" t="s">
        <v>563</v>
      </c>
    </row>
    <row r="4" spans="1:9" ht="165.6">
      <c r="A4" s="22">
        <v>46252</v>
      </c>
      <c r="B4" s="11" t="s">
        <v>32</v>
      </c>
      <c r="C4" s="11" t="s">
        <v>564</v>
      </c>
      <c r="D4" s="11" t="s">
        <v>565</v>
      </c>
      <c r="E4" s="11" t="s">
        <v>107</v>
      </c>
      <c r="F4" s="11" t="s">
        <v>560</v>
      </c>
      <c r="G4" s="11" t="s">
        <v>566</v>
      </c>
      <c r="H4" s="11" t="s">
        <v>567</v>
      </c>
      <c r="I4" s="31" t="s">
        <v>568</v>
      </c>
    </row>
    <row r="5" spans="1:9" ht="220.8">
      <c r="A5" s="22" t="s">
        <v>569</v>
      </c>
      <c r="B5" s="11" t="s">
        <v>131</v>
      </c>
      <c r="C5" s="11" t="s">
        <v>570</v>
      </c>
      <c r="D5" s="11" t="s">
        <v>571</v>
      </c>
      <c r="E5" s="11" t="s">
        <v>572</v>
      </c>
      <c r="F5" s="11" t="s">
        <v>560</v>
      </c>
      <c r="G5" s="11" t="s">
        <v>573</v>
      </c>
      <c r="H5" s="11" t="s">
        <v>574</v>
      </c>
      <c r="I5" s="31" t="s">
        <v>575</v>
      </c>
    </row>
    <row r="6" spans="1:9" ht="165.6">
      <c r="A6" s="22">
        <v>46267</v>
      </c>
      <c r="B6" s="11" t="s">
        <v>131</v>
      </c>
      <c r="C6" s="11" t="s">
        <v>576</v>
      </c>
      <c r="D6" s="11" t="s">
        <v>577</v>
      </c>
      <c r="E6" s="11" t="s">
        <v>572</v>
      </c>
      <c r="F6" s="11" t="s">
        <v>560</v>
      </c>
      <c r="G6" s="11" t="s">
        <v>578</v>
      </c>
      <c r="H6" s="11" t="s">
        <v>579</v>
      </c>
      <c r="I6" s="16" t="s">
        <v>580</v>
      </c>
    </row>
    <row r="7" spans="1:9" ht="151.80000000000001">
      <c r="A7" s="28">
        <v>46285</v>
      </c>
      <c r="B7" s="28"/>
      <c r="C7" s="28"/>
      <c r="D7" s="11" t="s">
        <v>581</v>
      </c>
      <c r="E7" s="11" t="s">
        <v>582</v>
      </c>
      <c r="F7" s="11" t="s">
        <v>583</v>
      </c>
      <c r="G7" s="11" t="s">
        <v>584</v>
      </c>
      <c r="H7" s="11" t="s">
        <v>585</v>
      </c>
      <c r="I7" s="16" t="s">
        <v>586</v>
      </c>
    </row>
    <row r="8" spans="1:9">
      <c r="A8" s="22"/>
      <c r="B8" s="11"/>
      <c r="C8" s="11"/>
      <c r="D8" s="11"/>
      <c r="E8" s="11"/>
      <c r="F8" s="11"/>
      <c r="G8" s="11"/>
      <c r="H8" s="11"/>
      <c r="I8" s="16"/>
    </row>
    <row r="9" spans="1:9" s="34" customFormat="1" ht="88.05" customHeight="1">
      <c r="A9" s="41" t="s">
        <v>587</v>
      </c>
      <c r="B9" s="17" t="s">
        <v>57</v>
      </c>
      <c r="C9" s="38" t="s">
        <v>588</v>
      </c>
      <c r="D9" s="17" t="s">
        <v>589</v>
      </c>
      <c r="E9" s="17" t="s">
        <v>590</v>
      </c>
      <c r="F9" s="17" t="s">
        <v>591</v>
      </c>
      <c r="G9" s="17" t="s">
        <v>592</v>
      </c>
      <c r="H9" s="17" t="s">
        <v>593</v>
      </c>
      <c r="I9" s="17" t="s">
        <v>594</v>
      </c>
    </row>
    <row r="10" spans="1:9">
      <c r="A10" s="22"/>
      <c r="B10" s="11"/>
      <c r="C10" s="11"/>
      <c r="D10" s="11"/>
      <c r="E10" s="11"/>
      <c r="F10" s="11"/>
      <c r="G10" s="11"/>
      <c r="H10" s="11"/>
      <c r="I10" s="16"/>
    </row>
    <row r="11" spans="1:9">
      <c r="A11" s="22"/>
      <c r="B11" s="11"/>
      <c r="C11" s="11"/>
      <c r="D11" s="11"/>
      <c r="E11" s="11"/>
      <c r="F11" s="11"/>
      <c r="G11" s="11"/>
      <c r="H11" s="11"/>
      <c r="I11" s="16"/>
    </row>
    <row r="12" spans="1:9">
      <c r="A12" s="22"/>
      <c r="B12" s="11"/>
      <c r="C12" s="11"/>
      <c r="D12" s="11"/>
      <c r="E12" s="11"/>
      <c r="F12" s="11"/>
      <c r="G12" s="11"/>
      <c r="H12" s="11"/>
      <c r="I12" s="16"/>
    </row>
    <row r="13" spans="1:9">
      <c r="A13" s="22"/>
      <c r="B13" s="11"/>
      <c r="C13" s="11"/>
      <c r="D13" s="11"/>
      <c r="E13" s="11"/>
      <c r="F13" s="11"/>
      <c r="G13" s="11"/>
      <c r="H13" s="11"/>
      <c r="I13" s="16"/>
    </row>
    <row r="14" spans="1:9">
      <c r="A14" s="22"/>
      <c r="B14" s="11"/>
      <c r="C14" s="11"/>
      <c r="D14" s="11"/>
      <c r="E14" s="11"/>
      <c r="F14" s="11"/>
      <c r="G14" s="11"/>
      <c r="H14" s="11"/>
      <c r="I14" s="16"/>
    </row>
    <row r="15" spans="1:9">
      <c r="A15" s="22"/>
      <c r="B15" s="11"/>
      <c r="C15" s="11"/>
      <c r="D15" s="11"/>
      <c r="E15" s="11"/>
      <c r="F15" s="11"/>
      <c r="G15" s="11"/>
      <c r="H15" s="11"/>
      <c r="I15" s="16"/>
    </row>
    <row r="16" spans="1:9">
      <c r="A16" s="22"/>
      <c r="B16" s="11"/>
      <c r="C16" s="11"/>
      <c r="D16" s="11"/>
      <c r="E16" s="11"/>
      <c r="F16" s="11"/>
      <c r="G16" s="11"/>
      <c r="H16" s="11"/>
      <c r="I16" s="16"/>
    </row>
    <row r="17" spans="1:9">
      <c r="A17" s="22"/>
      <c r="B17" s="11"/>
      <c r="C17" s="11"/>
      <c r="D17" s="11"/>
      <c r="E17" s="11"/>
      <c r="F17" s="11"/>
      <c r="G17" s="11"/>
      <c r="H17" s="11"/>
      <c r="I17" s="16"/>
    </row>
    <row r="18" spans="1:9">
      <c r="A18" s="22"/>
      <c r="B18" s="11"/>
      <c r="C18" s="11"/>
      <c r="D18" s="11"/>
      <c r="E18" s="11"/>
      <c r="F18" s="11"/>
      <c r="G18" s="11"/>
      <c r="H18" s="11"/>
      <c r="I18" s="16"/>
    </row>
    <row r="19" spans="1:9">
      <c r="A19" s="22"/>
      <c r="B19" s="11"/>
      <c r="C19" s="11"/>
      <c r="D19" s="11"/>
      <c r="E19" s="11"/>
      <c r="F19" s="11"/>
      <c r="G19" s="11"/>
      <c r="H19" s="11"/>
      <c r="I19" s="16"/>
    </row>
    <row r="20" spans="1:9">
      <c r="A20" s="22"/>
      <c r="B20" s="11"/>
      <c r="C20" s="11"/>
      <c r="D20" s="11"/>
      <c r="E20" s="11"/>
      <c r="F20" s="11"/>
      <c r="G20" s="11"/>
      <c r="H20" s="11"/>
      <c r="I20" s="16"/>
    </row>
    <row r="21" spans="1:9">
      <c r="A21" s="22"/>
      <c r="B21" s="11"/>
      <c r="C21" s="11"/>
      <c r="D21" s="11"/>
      <c r="E21" s="11"/>
      <c r="F21" s="11"/>
      <c r="G21" s="11"/>
      <c r="H21" s="11"/>
      <c r="I21" s="16"/>
    </row>
    <row r="22" spans="1:9">
      <c r="A22" s="22"/>
      <c r="B22" s="11"/>
      <c r="C22" s="11"/>
      <c r="D22" s="11"/>
      <c r="E22" s="11"/>
      <c r="F22" s="11"/>
      <c r="G22" s="11"/>
      <c r="H22" s="11"/>
      <c r="I22" s="16"/>
    </row>
    <row r="23" spans="1:9">
      <c r="A23" s="22"/>
      <c r="B23" s="11"/>
      <c r="C23" s="11"/>
      <c r="D23" s="11"/>
      <c r="E23" s="11"/>
      <c r="F23" s="11"/>
      <c r="G23" s="11"/>
      <c r="H23" s="11"/>
      <c r="I23" s="16"/>
    </row>
    <row r="24" spans="1:9">
      <c r="A24" s="22"/>
      <c r="B24" s="11"/>
      <c r="C24" s="11"/>
      <c r="D24" s="11"/>
      <c r="E24" s="11"/>
      <c r="F24" s="11"/>
      <c r="G24" s="11"/>
      <c r="H24" s="11"/>
      <c r="I24" s="16"/>
    </row>
    <row r="25" spans="1:9">
      <c r="A25" s="22"/>
      <c r="B25" s="11"/>
      <c r="C25" s="11"/>
      <c r="D25" s="11"/>
      <c r="E25" s="11"/>
      <c r="F25" s="11"/>
      <c r="G25" s="11"/>
      <c r="H25" s="11"/>
      <c r="I25" s="16"/>
    </row>
    <row r="26" spans="1:9">
      <c r="A26" s="22"/>
      <c r="B26" s="11"/>
      <c r="C26" s="11"/>
      <c r="D26" s="11"/>
      <c r="E26" s="11"/>
      <c r="F26" s="11"/>
      <c r="G26" s="11"/>
      <c r="H26" s="11"/>
      <c r="I26" s="16"/>
    </row>
    <row r="27" spans="1:9">
      <c r="A27" s="22"/>
      <c r="B27" s="11"/>
      <c r="C27" s="11"/>
      <c r="D27" s="11"/>
      <c r="E27" s="11"/>
      <c r="F27" s="11"/>
      <c r="G27" s="11"/>
      <c r="H27" s="11"/>
      <c r="I27" s="16"/>
    </row>
    <row r="28" spans="1:9">
      <c r="A28" s="22"/>
      <c r="B28" s="11"/>
      <c r="C28" s="11"/>
      <c r="D28" s="11"/>
      <c r="E28" s="11"/>
      <c r="F28" s="11"/>
      <c r="G28" s="11"/>
      <c r="H28" s="11"/>
      <c r="I28" s="16"/>
    </row>
    <row r="29" spans="1:9">
      <c r="A29" s="22"/>
      <c r="B29" s="11"/>
      <c r="C29" s="11"/>
      <c r="D29" s="11"/>
      <c r="E29" s="11"/>
      <c r="F29" s="11"/>
      <c r="G29" s="11"/>
      <c r="H29" s="11"/>
      <c r="I29" s="16"/>
    </row>
    <row r="30" spans="1:9">
      <c r="A30" s="22"/>
      <c r="B30" s="11"/>
      <c r="C30" s="11"/>
      <c r="D30" s="11"/>
      <c r="E30" s="11"/>
      <c r="F30" s="11"/>
      <c r="G30" s="11"/>
      <c r="H30" s="11"/>
      <c r="I30" s="16"/>
    </row>
    <row r="31" spans="1:9">
      <c r="A31" s="22"/>
      <c r="B31" s="11"/>
      <c r="C31" s="11"/>
      <c r="D31" s="11"/>
      <c r="E31" s="11"/>
      <c r="F31" s="11"/>
      <c r="G31" s="11"/>
      <c r="H31" s="11"/>
      <c r="I31" s="16"/>
    </row>
    <row r="32" spans="1:9">
      <c r="A32" s="22"/>
      <c r="B32" s="11"/>
      <c r="C32" s="11"/>
      <c r="D32" s="11"/>
      <c r="E32" s="11"/>
      <c r="F32" s="11"/>
      <c r="G32" s="11"/>
      <c r="H32" s="11"/>
      <c r="I32" s="16"/>
    </row>
    <row r="33" spans="1:9">
      <c r="A33" s="22"/>
      <c r="B33" s="11"/>
      <c r="C33" s="11"/>
      <c r="D33" s="11"/>
      <c r="E33" s="11"/>
      <c r="F33" s="11"/>
      <c r="G33" s="11"/>
      <c r="H33" s="11"/>
      <c r="I33" s="16"/>
    </row>
    <row r="34" spans="1:9">
      <c r="A34" s="22"/>
      <c r="B34" s="11"/>
      <c r="C34" s="11"/>
      <c r="D34" s="11"/>
      <c r="E34" s="11"/>
      <c r="F34" s="11"/>
      <c r="G34" s="11"/>
      <c r="H34" s="11"/>
      <c r="I34" s="16"/>
    </row>
    <row r="35" spans="1:9">
      <c r="A35" s="22"/>
      <c r="B35" s="11"/>
      <c r="C35" s="11"/>
      <c r="D35" s="11"/>
      <c r="E35" s="11"/>
      <c r="F35" s="11"/>
      <c r="G35" s="11"/>
      <c r="H35" s="11"/>
      <c r="I35" s="16"/>
    </row>
    <row r="36" spans="1:9">
      <c r="A36" s="22"/>
      <c r="B36" s="11"/>
      <c r="C36" s="11"/>
      <c r="D36" s="11"/>
      <c r="E36" s="11"/>
      <c r="F36" s="11"/>
      <c r="G36" s="11"/>
      <c r="H36" s="11"/>
      <c r="I36" s="16"/>
    </row>
    <row r="37" spans="1:9">
      <c r="A37" s="22"/>
      <c r="B37" s="11"/>
      <c r="C37" s="11"/>
      <c r="D37" s="11"/>
      <c r="E37" s="11"/>
      <c r="F37" s="11"/>
      <c r="G37" s="11"/>
      <c r="H37" s="11"/>
      <c r="I37" s="16"/>
    </row>
    <row r="38" spans="1:9">
      <c r="A38" s="22"/>
      <c r="B38" s="11"/>
      <c r="C38" s="11"/>
      <c r="D38" s="11"/>
      <c r="E38" s="11"/>
      <c r="F38" s="11"/>
      <c r="G38" s="11"/>
      <c r="H38" s="11"/>
      <c r="I38" s="16"/>
    </row>
    <row r="39" spans="1:9">
      <c r="A39" s="22"/>
      <c r="B39" s="11"/>
      <c r="C39" s="11"/>
      <c r="D39" s="11"/>
      <c r="E39" s="11"/>
      <c r="F39" s="11"/>
      <c r="G39" s="11"/>
      <c r="H39" s="11"/>
      <c r="I39" s="16"/>
    </row>
    <row r="40" spans="1:9">
      <c r="A40" s="22"/>
      <c r="B40" s="11"/>
      <c r="C40" s="11"/>
      <c r="D40" s="11"/>
      <c r="E40" s="11"/>
      <c r="F40" s="11"/>
      <c r="G40" s="11"/>
      <c r="H40" s="11"/>
      <c r="I40" s="16"/>
    </row>
    <row r="41" spans="1:9">
      <c r="A41" s="22"/>
      <c r="B41" s="11"/>
      <c r="C41" s="11"/>
      <c r="D41" s="11"/>
      <c r="E41" s="11"/>
      <c r="F41" s="11"/>
      <c r="G41" s="11"/>
      <c r="H41" s="11"/>
      <c r="I41" s="16"/>
    </row>
    <row r="42" spans="1:9">
      <c r="A42" s="22"/>
      <c r="B42" s="11"/>
      <c r="C42" s="11"/>
      <c r="D42" s="11"/>
      <c r="E42" s="11"/>
      <c r="F42" s="11"/>
      <c r="G42" s="11"/>
      <c r="H42" s="11"/>
      <c r="I42" s="16"/>
    </row>
    <row r="43" spans="1:9">
      <c r="A43" s="22"/>
      <c r="B43" s="11"/>
      <c r="C43" s="11"/>
      <c r="D43" s="11"/>
      <c r="E43" s="11"/>
      <c r="F43" s="11"/>
      <c r="G43" s="11"/>
      <c r="H43" s="11"/>
      <c r="I43" s="16"/>
    </row>
    <row r="44" spans="1:9">
      <c r="A44" s="22"/>
      <c r="B44" s="11"/>
      <c r="C44" s="11"/>
      <c r="D44" s="11"/>
      <c r="E44" s="11"/>
      <c r="F44" s="11"/>
      <c r="G44" s="11"/>
      <c r="H44" s="11"/>
      <c r="I44" s="16"/>
    </row>
    <row r="45" spans="1:9">
      <c r="A45" s="22"/>
      <c r="B45" s="11"/>
      <c r="C45" s="11"/>
      <c r="D45" s="11"/>
      <c r="E45" s="11"/>
      <c r="F45" s="11"/>
      <c r="G45" s="11"/>
      <c r="H45" s="11"/>
      <c r="I45" s="16"/>
    </row>
    <row r="46" spans="1:9">
      <c r="A46" s="22"/>
      <c r="B46" s="11"/>
      <c r="C46" s="11"/>
      <c r="D46" s="11"/>
      <c r="E46" s="11"/>
      <c r="F46" s="11"/>
      <c r="G46" s="11"/>
      <c r="H46" s="11"/>
      <c r="I46" s="16"/>
    </row>
    <row r="47" spans="1:9">
      <c r="A47" s="22"/>
      <c r="B47" s="11"/>
      <c r="C47" s="11"/>
      <c r="D47" s="11"/>
      <c r="E47" s="11"/>
      <c r="F47" s="11"/>
      <c r="G47" s="11"/>
      <c r="H47" s="11"/>
      <c r="I47" s="16"/>
    </row>
    <row r="48" spans="1:9">
      <c r="A48" s="22"/>
      <c r="B48" s="11"/>
      <c r="C48" s="11"/>
      <c r="D48" s="11"/>
      <c r="E48" s="11"/>
      <c r="F48" s="11"/>
      <c r="G48" s="11"/>
      <c r="H48" s="11"/>
      <c r="I48" s="16"/>
    </row>
    <row r="49" spans="1:9">
      <c r="A49" s="22"/>
      <c r="B49" s="11"/>
      <c r="C49" s="11"/>
      <c r="D49" s="11"/>
      <c r="E49" s="11"/>
      <c r="F49" s="11"/>
      <c r="G49" s="11"/>
      <c r="H49" s="11"/>
      <c r="I49" s="16"/>
    </row>
    <row r="50" spans="1:9">
      <c r="A50" s="22"/>
      <c r="B50" s="11"/>
      <c r="C50" s="11"/>
      <c r="D50" s="11"/>
      <c r="E50" s="11"/>
      <c r="F50" s="11"/>
      <c r="G50" s="11"/>
      <c r="H50" s="11"/>
      <c r="I50" s="16"/>
    </row>
    <row r="51" spans="1:9">
      <c r="A51" s="22"/>
      <c r="B51" s="11"/>
      <c r="C51" s="11"/>
      <c r="D51" s="11"/>
      <c r="E51" s="11"/>
      <c r="F51" s="11"/>
      <c r="G51" s="11"/>
      <c r="H51" s="11"/>
      <c r="I51" s="16"/>
    </row>
    <row r="52" spans="1:9">
      <c r="A52" s="22"/>
      <c r="B52" s="11"/>
      <c r="C52" s="11"/>
      <c r="D52" s="11"/>
      <c r="E52" s="11"/>
      <c r="F52" s="11"/>
      <c r="G52" s="11"/>
      <c r="H52" s="11"/>
      <c r="I52" s="16"/>
    </row>
    <row r="53" spans="1:9">
      <c r="A53" s="22"/>
      <c r="B53" s="11"/>
      <c r="C53" s="11"/>
      <c r="D53" s="11"/>
      <c r="E53" s="11"/>
      <c r="F53" s="11"/>
      <c r="G53" s="11"/>
      <c r="H53" s="11"/>
      <c r="I53" s="16"/>
    </row>
    <row r="54" spans="1:9">
      <c r="A54" s="22"/>
      <c r="B54" s="11"/>
      <c r="C54" s="11"/>
      <c r="D54" s="11"/>
      <c r="E54" s="11"/>
      <c r="F54" s="11"/>
      <c r="G54" s="11"/>
      <c r="H54" s="11"/>
      <c r="I54" s="16"/>
    </row>
    <row r="55" spans="1:9">
      <c r="A55" s="22"/>
      <c r="B55" s="11"/>
      <c r="C55" s="11"/>
      <c r="D55" s="11"/>
      <c r="E55" s="11"/>
      <c r="F55" s="11"/>
      <c r="G55" s="11"/>
      <c r="H55" s="11"/>
      <c r="I55" s="16"/>
    </row>
    <row r="56" spans="1:9">
      <c r="A56" s="22"/>
      <c r="B56" s="11"/>
      <c r="C56" s="11"/>
      <c r="D56" s="11"/>
      <c r="E56" s="11"/>
      <c r="F56" s="11"/>
      <c r="G56" s="11"/>
      <c r="H56" s="11"/>
      <c r="I56" s="16"/>
    </row>
    <row r="57" spans="1:9">
      <c r="A57" s="22"/>
      <c r="B57" s="11"/>
      <c r="C57" s="11"/>
      <c r="D57" s="11"/>
      <c r="E57" s="11"/>
      <c r="F57" s="11"/>
      <c r="G57" s="11"/>
      <c r="H57" s="11"/>
      <c r="I57" s="16"/>
    </row>
    <row r="58" spans="1:9">
      <c r="A58" s="22"/>
      <c r="B58" s="11"/>
      <c r="C58" s="11"/>
      <c r="D58" s="11"/>
      <c r="E58" s="11"/>
      <c r="F58" s="11"/>
      <c r="G58" s="11"/>
      <c r="H58" s="11"/>
      <c r="I58" s="16"/>
    </row>
    <row r="59" spans="1:9">
      <c r="A59" s="22"/>
      <c r="B59" s="11"/>
      <c r="C59" s="11"/>
      <c r="D59" s="11"/>
      <c r="E59" s="11"/>
      <c r="F59" s="11"/>
      <c r="G59" s="11"/>
      <c r="H59" s="11"/>
      <c r="I59" s="16"/>
    </row>
    <row r="60" spans="1:9">
      <c r="A60" s="22"/>
      <c r="B60" s="11"/>
      <c r="C60" s="11"/>
      <c r="D60" s="11"/>
      <c r="E60" s="11"/>
      <c r="F60" s="11"/>
      <c r="G60" s="11"/>
      <c r="H60" s="11"/>
      <c r="I60" s="16"/>
    </row>
    <row r="61" spans="1:9">
      <c r="A61" s="22"/>
      <c r="B61" s="11"/>
      <c r="C61" s="11"/>
      <c r="D61" s="11"/>
      <c r="E61" s="11"/>
      <c r="F61" s="11"/>
      <c r="G61" s="11"/>
      <c r="H61" s="11"/>
      <c r="I61" s="16"/>
    </row>
    <row r="62" spans="1:9">
      <c r="A62" s="22"/>
      <c r="B62" s="11"/>
      <c r="C62" s="11"/>
      <c r="D62" s="11"/>
      <c r="E62" s="11"/>
      <c r="F62" s="11"/>
      <c r="G62" s="11"/>
      <c r="H62" s="11"/>
      <c r="I62" s="16"/>
    </row>
    <row r="63" spans="1:9">
      <c r="A63" s="22"/>
      <c r="B63" s="11"/>
      <c r="C63" s="11"/>
      <c r="D63" s="11"/>
      <c r="E63" s="11"/>
      <c r="F63" s="11"/>
      <c r="G63" s="11"/>
      <c r="H63" s="11"/>
      <c r="I63" s="16"/>
    </row>
    <row r="64" spans="1:9">
      <c r="A64" s="22"/>
      <c r="B64" s="11"/>
      <c r="C64" s="11"/>
      <c r="D64" s="11"/>
      <c r="E64" s="11"/>
      <c r="F64" s="11"/>
      <c r="G64" s="11"/>
      <c r="H64" s="11"/>
      <c r="I64" s="16"/>
    </row>
    <row r="65" spans="1:9">
      <c r="A65" s="22"/>
      <c r="B65" s="11"/>
      <c r="C65" s="11"/>
      <c r="D65" s="11"/>
      <c r="E65" s="11"/>
      <c r="F65" s="11"/>
      <c r="G65" s="11"/>
      <c r="H65" s="11"/>
      <c r="I65" s="16"/>
    </row>
    <row r="66" spans="1:9">
      <c r="A66" s="22"/>
      <c r="B66" s="11"/>
      <c r="C66" s="11"/>
      <c r="D66" s="11"/>
      <c r="E66" s="11"/>
      <c r="F66" s="11"/>
      <c r="G66" s="11"/>
      <c r="H66" s="11"/>
      <c r="I66" s="16"/>
    </row>
    <row r="67" spans="1:9">
      <c r="A67" s="22"/>
      <c r="B67" s="11"/>
      <c r="C67" s="11"/>
      <c r="D67" s="11"/>
      <c r="E67" s="11"/>
      <c r="F67" s="11"/>
      <c r="G67" s="11"/>
      <c r="H67" s="11"/>
      <c r="I67" s="16"/>
    </row>
    <row r="68" spans="1:9">
      <c r="A68" s="22"/>
      <c r="B68" s="11"/>
      <c r="C68" s="11"/>
      <c r="D68" s="11"/>
      <c r="E68" s="11"/>
      <c r="F68" s="11"/>
      <c r="G68" s="11"/>
      <c r="H68" s="11"/>
      <c r="I68" s="16"/>
    </row>
    <row r="69" spans="1:9">
      <c r="A69" s="22"/>
      <c r="B69" s="11"/>
      <c r="C69" s="11"/>
      <c r="D69" s="11"/>
      <c r="E69" s="11"/>
      <c r="F69" s="11"/>
      <c r="G69" s="11"/>
      <c r="H69" s="11"/>
      <c r="I69" s="16"/>
    </row>
    <row r="70" spans="1:9">
      <c r="A70" s="22"/>
      <c r="B70" s="11"/>
      <c r="C70" s="11"/>
      <c r="D70" s="11"/>
      <c r="E70" s="11"/>
      <c r="F70" s="11"/>
      <c r="G70" s="11"/>
      <c r="H70" s="11"/>
      <c r="I70" s="16"/>
    </row>
    <row r="71" spans="1:9">
      <c r="A71" s="22"/>
      <c r="B71" s="11"/>
      <c r="C71" s="11"/>
      <c r="D71" s="11"/>
      <c r="E71" s="11"/>
      <c r="F71" s="11"/>
      <c r="G71" s="11"/>
      <c r="H71" s="11"/>
      <c r="I71" s="16"/>
    </row>
    <row r="72" spans="1:9">
      <c r="A72" s="22"/>
      <c r="B72" s="11"/>
      <c r="C72" s="11"/>
      <c r="D72" s="11"/>
      <c r="E72" s="11"/>
      <c r="F72" s="11"/>
      <c r="G72" s="11"/>
      <c r="H72" s="11"/>
      <c r="I72" s="16"/>
    </row>
    <row r="73" spans="1:9">
      <c r="A73" s="22"/>
      <c r="B73" s="11"/>
      <c r="C73" s="11"/>
      <c r="D73" s="11"/>
      <c r="E73" s="11"/>
      <c r="F73" s="11"/>
      <c r="G73" s="11"/>
      <c r="H73" s="11"/>
      <c r="I73" s="16"/>
    </row>
    <row r="74" spans="1:9">
      <c r="A74" s="22"/>
      <c r="B74" s="11"/>
      <c r="C74" s="11"/>
      <c r="D74" s="11"/>
      <c r="E74" s="11"/>
      <c r="F74" s="11"/>
      <c r="G74" s="11"/>
      <c r="H74" s="11"/>
      <c r="I74" s="16"/>
    </row>
    <row r="75" spans="1:9">
      <c r="A75" s="22"/>
      <c r="B75" s="11"/>
      <c r="C75" s="11"/>
      <c r="D75" s="11"/>
      <c r="E75" s="11"/>
      <c r="F75" s="11"/>
      <c r="G75" s="11"/>
      <c r="H75" s="11"/>
      <c r="I75" s="16"/>
    </row>
    <row r="76" spans="1:9">
      <c r="A76" s="22"/>
      <c r="B76" s="11"/>
      <c r="C76" s="11"/>
      <c r="D76" s="11"/>
      <c r="E76" s="11"/>
      <c r="F76" s="11"/>
      <c r="G76" s="11"/>
      <c r="H76" s="11"/>
      <c r="I76" s="16"/>
    </row>
    <row r="77" spans="1:9">
      <c r="A77" s="22"/>
      <c r="B77" s="11"/>
      <c r="C77" s="11"/>
      <c r="D77" s="11"/>
      <c r="E77" s="11"/>
      <c r="F77" s="11"/>
      <c r="G77" s="11"/>
      <c r="H77" s="11"/>
      <c r="I77" s="16"/>
    </row>
    <row r="78" spans="1:9">
      <c r="A78" s="22"/>
      <c r="B78" s="11"/>
      <c r="C78" s="11"/>
      <c r="D78" s="11"/>
      <c r="E78" s="11"/>
      <c r="F78" s="11"/>
      <c r="G78" s="11"/>
      <c r="H78" s="11"/>
      <c r="I78" s="16"/>
    </row>
    <row r="79" spans="1:9">
      <c r="A79" s="22"/>
      <c r="B79" s="11"/>
      <c r="C79" s="11"/>
      <c r="D79" s="11"/>
      <c r="E79" s="11"/>
      <c r="F79" s="11"/>
      <c r="G79" s="11"/>
      <c r="H79" s="11"/>
      <c r="I79" s="16"/>
    </row>
    <row r="80" spans="1:9">
      <c r="A80" s="22"/>
      <c r="B80" s="11"/>
      <c r="C80" s="11"/>
      <c r="D80" s="11"/>
      <c r="E80" s="11"/>
      <c r="F80" s="11"/>
      <c r="G80" s="11"/>
      <c r="H80" s="11"/>
      <c r="I80" s="16"/>
    </row>
    <row r="81" spans="1:9">
      <c r="A81" s="22"/>
      <c r="B81" s="11"/>
      <c r="C81" s="11"/>
      <c r="D81" s="11"/>
      <c r="E81" s="11"/>
      <c r="F81" s="11"/>
      <c r="G81" s="11"/>
      <c r="H81" s="11"/>
      <c r="I81" s="16"/>
    </row>
    <row r="82" spans="1:9">
      <c r="A82" s="22"/>
      <c r="B82" s="11"/>
      <c r="C82" s="11"/>
      <c r="D82" s="11"/>
      <c r="E82" s="11"/>
      <c r="F82" s="11"/>
      <c r="G82" s="11"/>
      <c r="H82" s="11"/>
      <c r="I82" s="16"/>
    </row>
    <row r="83" spans="1:9">
      <c r="A83" s="22"/>
      <c r="B83" s="11"/>
      <c r="C83" s="11"/>
      <c r="D83" s="11"/>
      <c r="E83" s="11"/>
      <c r="F83" s="11"/>
      <c r="G83" s="11"/>
      <c r="H83" s="11"/>
      <c r="I83" s="16"/>
    </row>
    <row r="84" spans="1:9">
      <c r="A84" s="22"/>
      <c r="B84" s="11"/>
      <c r="C84" s="11"/>
      <c r="D84" s="11"/>
      <c r="E84" s="11"/>
      <c r="F84" s="11"/>
      <c r="G84" s="11"/>
      <c r="H84" s="11"/>
      <c r="I84" s="16"/>
    </row>
    <row r="85" spans="1:9">
      <c r="A85" s="22"/>
      <c r="B85" s="11"/>
      <c r="C85" s="11"/>
      <c r="D85" s="11"/>
      <c r="E85" s="11"/>
      <c r="F85" s="11"/>
      <c r="G85" s="11"/>
      <c r="H85" s="11"/>
      <c r="I85" s="16"/>
    </row>
    <row r="86" spans="1:9">
      <c r="A86" s="22"/>
      <c r="B86" s="11"/>
      <c r="C86" s="11"/>
      <c r="D86" s="11"/>
      <c r="E86" s="11"/>
      <c r="F86" s="11"/>
      <c r="G86" s="11"/>
      <c r="H86" s="11"/>
      <c r="I86" s="16"/>
    </row>
    <row r="87" spans="1:9">
      <c r="A87" s="22"/>
      <c r="B87" s="11"/>
      <c r="C87" s="11"/>
      <c r="D87" s="11"/>
      <c r="E87" s="11"/>
      <c r="F87" s="11"/>
      <c r="G87" s="11"/>
      <c r="H87" s="11"/>
      <c r="I87" s="16"/>
    </row>
    <row r="88" spans="1:9">
      <c r="A88" s="22"/>
      <c r="B88" s="11"/>
      <c r="C88" s="11"/>
      <c r="D88" s="11"/>
      <c r="E88" s="11"/>
      <c r="F88" s="11"/>
      <c r="G88" s="11"/>
      <c r="H88" s="11"/>
      <c r="I88" s="16"/>
    </row>
    <row r="89" spans="1:9">
      <c r="A89" s="22"/>
      <c r="B89" s="11"/>
      <c r="C89" s="11"/>
      <c r="D89" s="11"/>
      <c r="E89" s="11"/>
      <c r="F89" s="11"/>
      <c r="G89" s="11"/>
      <c r="H89" s="11"/>
      <c r="I89" s="16"/>
    </row>
    <row r="90" spans="1:9">
      <c r="A90" s="22"/>
      <c r="B90" s="11"/>
      <c r="C90" s="11"/>
      <c r="D90" s="11"/>
      <c r="E90" s="11"/>
      <c r="F90" s="11"/>
      <c r="G90" s="11"/>
      <c r="H90" s="11"/>
      <c r="I90" s="16"/>
    </row>
    <row r="91" spans="1:9">
      <c r="A91" s="22"/>
      <c r="B91" s="11"/>
      <c r="C91" s="11"/>
      <c r="D91" s="11"/>
      <c r="E91" s="11"/>
      <c r="F91" s="11"/>
      <c r="G91" s="11"/>
      <c r="H91" s="11"/>
      <c r="I91" s="16"/>
    </row>
    <row r="92" spans="1:9">
      <c r="A92" s="22"/>
      <c r="B92" s="11"/>
      <c r="C92" s="11"/>
      <c r="D92" s="11"/>
      <c r="E92" s="11"/>
      <c r="F92" s="11"/>
      <c r="G92" s="11"/>
      <c r="H92" s="11"/>
      <c r="I92" s="16"/>
    </row>
    <row r="93" spans="1:9">
      <c r="A93" s="22"/>
      <c r="B93" s="11"/>
      <c r="C93" s="11"/>
      <c r="D93" s="11"/>
      <c r="E93" s="11"/>
      <c r="F93" s="11"/>
      <c r="G93" s="11"/>
      <c r="H93" s="11"/>
      <c r="I93" s="16"/>
    </row>
    <row r="94" spans="1:9">
      <c r="A94" s="22"/>
      <c r="B94" s="11"/>
      <c r="C94" s="11"/>
      <c r="D94" s="11"/>
      <c r="E94" s="11"/>
      <c r="F94" s="11"/>
      <c r="G94" s="11"/>
      <c r="H94" s="11"/>
      <c r="I94" s="16"/>
    </row>
    <row r="95" spans="1:9">
      <c r="A95" s="22"/>
      <c r="B95" s="11"/>
      <c r="C95" s="11"/>
      <c r="D95" s="11"/>
      <c r="E95" s="11"/>
      <c r="F95" s="11"/>
      <c r="G95" s="11"/>
      <c r="H95" s="11"/>
      <c r="I95" s="16"/>
    </row>
    <row r="96" spans="1:9">
      <c r="A96" s="22"/>
      <c r="B96" s="11"/>
      <c r="C96" s="11"/>
      <c r="D96" s="11"/>
      <c r="E96" s="11"/>
      <c r="F96" s="11"/>
      <c r="G96" s="11"/>
      <c r="H96" s="11"/>
      <c r="I96" s="16"/>
    </row>
    <row r="97" spans="1:9">
      <c r="A97" s="23"/>
      <c r="B97" s="17"/>
      <c r="C97" s="17"/>
      <c r="D97" s="17"/>
      <c r="E97" s="17"/>
      <c r="F97" s="17"/>
      <c r="G97" s="17"/>
      <c r="H97" s="17"/>
      <c r="I97" s="20"/>
    </row>
  </sheetData>
  <mergeCells count="1">
    <mergeCell ref="A1:I1"/>
  </mergeCells>
  <dataValidations count="2">
    <dataValidation type="list" sqref="C3:C6 C8:C97" xr:uid="{00000000-0002-0000-0400-000000000000}">
      <formula1>"Meeting,Telephone Call,Online Meeting,Email,Site Visit,Other"</formula1>
    </dataValidation>
    <dataValidation type="list" sqref="B3:B6 B8:B97" xr:uid="{00000000-0002-0000-0400-000001000000}">
      <formula1>"Unit 1 / Phase 1,Phase 2,Phase 3,Final"</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1"/>
  <sheetViews>
    <sheetView topLeftCell="A11" zoomScale="50" workbookViewId="0">
      <selection activeCell="K18" sqref="K18"/>
    </sheetView>
  </sheetViews>
  <sheetFormatPr defaultRowHeight="13.8"/>
  <cols>
    <col min="1" max="1" width="15" customWidth="1"/>
    <col min="2" max="2" width="19" customWidth="1"/>
    <col min="3" max="4" width="34" customWidth="1"/>
    <col min="5" max="5" width="38" customWidth="1"/>
    <col min="6" max="6" width="24" customWidth="1"/>
    <col min="7" max="8" width="14" customWidth="1"/>
  </cols>
  <sheetData>
    <row r="1" spans="1:8" ht="16.05" customHeight="1">
      <c r="A1" s="43" t="s">
        <v>595</v>
      </c>
      <c r="B1" s="43"/>
      <c r="C1" s="43"/>
      <c r="D1" s="43"/>
      <c r="E1" s="43"/>
      <c r="F1" s="43"/>
      <c r="G1" s="43"/>
      <c r="H1" s="43"/>
    </row>
    <row r="2" spans="1:8">
      <c r="A2" s="1" t="s">
        <v>596</v>
      </c>
      <c r="B2" s="14" t="s">
        <v>76</v>
      </c>
      <c r="C2" s="14" t="s">
        <v>597</v>
      </c>
      <c r="D2" s="14" t="s">
        <v>598</v>
      </c>
      <c r="E2" s="14" t="s">
        <v>599</v>
      </c>
      <c r="F2" s="14" t="s">
        <v>600</v>
      </c>
      <c r="G2" s="14" t="s">
        <v>601</v>
      </c>
      <c r="H2" s="2" t="s">
        <v>82</v>
      </c>
    </row>
    <row r="3" spans="1:8" ht="69">
      <c r="A3" s="22">
        <v>46252</v>
      </c>
      <c r="B3" s="11" t="s">
        <v>32</v>
      </c>
      <c r="C3" s="11" t="s">
        <v>602</v>
      </c>
      <c r="D3" s="11" t="s">
        <v>603</v>
      </c>
      <c r="E3" s="11" t="s">
        <v>604</v>
      </c>
      <c r="F3" s="11" t="s">
        <v>605</v>
      </c>
      <c r="G3" s="12">
        <v>46252</v>
      </c>
      <c r="H3" s="16" t="s">
        <v>606</v>
      </c>
    </row>
    <row r="4" spans="1:8" ht="82.8">
      <c r="A4" s="22">
        <v>46252</v>
      </c>
      <c r="B4" s="11" t="s">
        <v>32</v>
      </c>
      <c r="C4" s="11" t="s">
        <v>607</v>
      </c>
      <c r="D4" s="11" t="s">
        <v>608</v>
      </c>
      <c r="E4" s="11" t="s">
        <v>609</v>
      </c>
      <c r="F4" s="11" t="s">
        <v>96</v>
      </c>
      <c r="G4" s="12">
        <v>46254</v>
      </c>
      <c r="H4" s="16" t="s">
        <v>606</v>
      </c>
    </row>
    <row r="5" spans="1:8" ht="69">
      <c r="A5" s="22">
        <v>46259</v>
      </c>
      <c r="B5" s="11" t="s">
        <v>131</v>
      </c>
      <c r="C5" s="11" t="s">
        <v>610</v>
      </c>
      <c r="D5" s="11" t="s">
        <v>611</v>
      </c>
      <c r="E5" s="11" t="s">
        <v>612</v>
      </c>
      <c r="F5" s="11" t="s">
        <v>122</v>
      </c>
      <c r="G5" s="12" t="s">
        <v>374</v>
      </c>
      <c r="H5" s="16" t="s">
        <v>606</v>
      </c>
    </row>
    <row r="6" spans="1:8" ht="82.8">
      <c r="A6" s="22">
        <v>46260</v>
      </c>
      <c r="B6" s="11" t="s">
        <v>131</v>
      </c>
      <c r="C6" s="11" t="s">
        <v>613</v>
      </c>
      <c r="D6" s="11" t="s">
        <v>614</v>
      </c>
      <c r="E6" s="11" t="s">
        <v>615</v>
      </c>
      <c r="F6" s="11" t="s">
        <v>96</v>
      </c>
      <c r="G6" s="12">
        <v>46265</v>
      </c>
      <c r="H6" s="16" t="s">
        <v>606</v>
      </c>
    </row>
    <row r="7" spans="1:8" ht="69">
      <c r="A7" s="22">
        <v>46261</v>
      </c>
      <c r="B7" s="11" t="s">
        <v>131</v>
      </c>
      <c r="C7" s="11" t="s">
        <v>616</v>
      </c>
      <c r="D7" s="11" t="s">
        <v>617</v>
      </c>
      <c r="E7" s="11" t="s">
        <v>618</v>
      </c>
      <c r="F7" s="11" t="s">
        <v>619</v>
      </c>
      <c r="G7" s="12">
        <v>46265</v>
      </c>
      <c r="H7" s="16" t="s">
        <v>606</v>
      </c>
    </row>
    <row r="8" spans="1:8" ht="69">
      <c r="A8" s="22">
        <v>46261</v>
      </c>
      <c r="B8" s="11" t="s">
        <v>131</v>
      </c>
      <c r="C8" s="11" t="s">
        <v>620</v>
      </c>
      <c r="D8" s="11" t="s">
        <v>621</v>
      </c>
      <c r="E8" s="11" t="s">
        <v>622</v>
      </c>
      <c r="F8" s="11" t="s">
        <v>623</v>
      </c>
      <c r="G8" s="12" t="s">
        <v>374</v>
      </c>
      <c r="H8" s="16" t="s">
        <v>606</v>
      </c>
    </row>
    <row r="9" spans="1:8" ht="96.6">
      <c r="A9" s="22">
        <v>46262</v>
      </c>
      <c r="B9" s="11" t="s">
        <v>131</v>
      </c>
      <c r="C9" s="11" t="s">
        <v>624</v>
      </c>
      <c r="D9" s="11" t="s">
        <v>625</v>
      </c>
      <c r="E9" s="11" t="s">
        <v>626</v>
      </c>
      <c r="F9" s="11" t="s">
        <v>605</v>
      </c>
      <c r="G9" s="12">
        <v>46265</v>
      </c>
      <c r="H9" s="16" t="s">
        <v>606</v>
      </c>
    </row>
    <row r="10" spans="1:8" ht="69">
      <c r="A10" s="22">
        <v>46263</v>
      </c>
      <c r="B10" s="11" t="s">
        <v>131</v>
      </c>
      <c r="C10" s="11" t="s">
        <v>627</v>
      </c>
      <c r="D10" s="11" t="s">
        <v>628</v>
      </c>
      <c r="E10" s="11" t="s">
        <v>629</v>
      </c>
      <c r="F10" s="11" t="s">
        <v>511</v>
      </c>
      <c r="G10" s="12">
        <v>46265</v>
      </c>
      <c r="H10" s="16" t="s">
        <v>606</v>
      </c>
    </row>
    <row r="11" spans="1:8" ht="82.8">
      <c r="A11" s="22">
        <v>46265</v>
      </c>
      <c r="B11" s="11" t="s">
        <v>131</v>
      </c>
      <c r="C11" s="11" t="s">
        <v>630</v>
      </c>
      <c r="D11" s="11" t="s">
        <v>631</v>
      </c>
      <c r="E11" s="11" t="s">
        <v>632</v>
      </c>
      <c r="F11" s="11" t="s">
        <v>605</v>
      </c>
      <c r="G11" s="12">
        <v>46267</v>
      </c>
      <c r="H11" s="16" t="s">
        <v>606</v>
      </c>
    </row>
    <row r="12" spans="1:8" ht="69">
      <c r="A12" s="22">
        <v>46265</v>
      </c>
      <c r="B12" s="11" t="s">
        <v>131</v>
      </c>
      <c r="C12" s="26" t="s">
        <v>633</v>
      </c>
      <c r="D12" s="11" t="s">
        <v>634</v>
      </c>
      <c r="E12" s="11" t="s">
        <v>635</v>
      </c>
      <c r="F12" s="11" t="s">
        <v>96</v>
      </c>
      <c r="G12" s="12">
        <v>46267</v>
      </c>
      <c r="H12" s="16" t="s">
        <v>606</v>
      </c>
    </row>
    <row r="13" spans="1:8" ht="55.2">
      <c r="A13" s="28">
        <v>46270</v>
      </c>
      <c r="B13" s="26" t="s">
        <v>636</v>
      </c>
      <c r="C13" s="11" t="s">
        <v>637</v>
      </c>
      <c r="D13" s="11" t="s">
        <v>638</v>
      </c>
      <c r="E13" s="11" t="s">
        <v>639</v>
      </c>
      <c r="F13" s="11" t="s">
        <v>619</v>
      </c>
      <c r="G13" s="12">
        <v>46287</v>
      </c>
      <c r="H13" s="16" t="s">
        <v>606</v>
      </c>
    </row>
    <row r="14" spans="1:8" ht="55.2">
      <c r="A14" s="28">
        <v>46275</v>
      </c>
      <c r="B14" s="26" t="s">
        <v>196</v>
      </c>
      <c r="C14" s="11" t="s">
        <v>640</v>
      </c>
      <c r="D14" s="11" t="s">
        <v>641</v>
      </c>
      <c r="E14" s="11" t="s">
        <v>642</v>
      </c>
      <c r="F14" s="11" t="s">
        <v>122</v>
      </c>
      <c r="G14" s="12">
        <v>46282</v>
      </c>
      <c r="H14" s="16" t="s">
        <v>606</v>
      </c>
    </row>
    <row r="15" spans="1:8" ht="69">
      <c r="A15" s="28">
        <v>46276</v>
      </c>
      <c r="B15" s="26" t="s">
        <v>196</v>
      </c>
      <c r="C15" s="11" t="s">
        <v>643</v>
      </c>
      <c r="D15" s="11" t="s">
        <v>644</v>
      </c>
      <c r="E15" s="11" t="s">
        <v>645</v>
      </c>
      <c r="F15" s="11" t="s">
        <v>258</v>
      </c>
      <c r="G15" s="12">
        <v>46285</v>
      </c>
      <c r="H15" s="16" t="s">
        <v>606</v>
      </c>
    </row>
    <row r="16" spans="1:8" ht="55.2">
      <c r="A16" s="22">
        <v>46277</v>
      </c>
      <c r="B16" s="26" t="s">
        <v>196</v>
      </c>
      <c r="C16" s="11" t="s">
        <v>646</v>
      </c>
      <c r="D16" s="11" t="s">
        <v>647</v>
      </c>
      <c r="E16" s="11" t="s">
        <v>648</v>
      </c>
      <c r="F16" s="11" t="s">
        <v>54</v>
      </c>
      <c r="G16" s="12">
        <v>46285</v>
      </c>
      <c r="H16" s="16" t="s">
        <v>606</v>
      </c>
    </row>
    <row r="17" spans="1:8" ht="55.2">
      <c r="A17" s="28">
        <v>46279</v>
      </c>
      <c r="B17" s="26" t="s">
        <v>196</v>
      </c>
      <c r="C17" s="11" t="s">
        <v>649</v>
      </c>
      <c r="D17" s="11" t="s">
        <v>650</v>
      </c>
      <c r="E17" s="11" t="s">
        <v>651</v>
      </c>
      <c r="F17" s="11" t="s">
        <v>96</v>
      </c>
      <c r="G17" s="12">
        <v>46287</v>
      </c>
      <c r="H17" s="16" t="s">
        <v>606</v>
      </c>
    </row>
    <row r="18" spans="1:8" ht="41.4">
      <c r="A18" s="28">
        <v>46285</v>
      </c>
      <c r="B18" s="11" t="s">
        <v>196</v>
      </c>
      <c r="C18" s="11" t="s">
        <v>652</v>
      </c>
      <c r="D18" s="11" t="s">
        <v>653</v>
      </c>
      <c r="E18" s="11" t="s">
        <v>654</v>
      </c>
      <c r="F18" s="11" t="s">
        <v>619</v>
      </c>
      <c r="G18" s="12">
        <v>46287</v>
      </c>
      <c r="H18" s="16" t="s">
        <v>606</v>
      </c>
    </row>
    <row r="19" spans="1:8" s="34" customFormat="1" ht="64.05" customHeight="1">
      <c r="A19" s="41" t="s">
        <v>655</v>
      </c>
      <c r="B19" s="17" t="s">
        <v>57</v>
      </c>
      <c r="C19" s="17" t="s">
        <v>656</v>
      </c>
      <c r="D19" s="17" t="s">
        <v>657</v>
      </c>
      <c r="E19" s="17" t="s">
        <v>658</v>
      </c>
      <c r="F19" s="17" t="s">
        <v>107</v>
      </c>
      <c r="G19" s="18" t="s">
        <v>659</v>
      </c>
      <c r="H19" s="16" t="s">
        <v>606</v>
      </c>
    </row>
    <row r="20" spans="1:8" s="34" customFormat="1" ht="64.05" customHeight="1">
      <c r="A20" s="41" t="s">
        <v>655</v>
      </c>
      <c r="B20" s="17" t="s">
        <v>57</v>
      </c>
      <c r="C20" s="17" t="s">
        <v>660</v>
      </c>
      <c r="D20" s="17" t="s">
        <v>661</v>
      </c>
      <c r="E20" s="17" t="s">
        <v>662</v>
      </c>
      <c r="F20" s="17" t="s">
        <v>663</v>
      </c>
      <c r="G20" s="18" t="s">
        <v>664</v>
      </c>
      <c r="H20" s="16" t="s">
        <v>606</v>
      </c>
    </row>
    <row r="21" spans="1:8" ht="69">
      <c r="A21" s="22" t="s">
        <v>665</v>
      </c>
      <c r="B21" s="17" t="s">
        <v>57</v>
      </c>
      <c r="C21" s="11" t="s">
        <v>666</v>
      </c>
      <c r="D21" s="11" t="s">
        <v>667</v>
      </c>
      <c r="E21" s="11" t="s">
        <v>668</v>
      </c>
      <c r="F21" s="11" t="s">
        <v>663</v>
      </c>
      <c r="G21" s="12">
        <v>46316</v>
      </c>
      <c r="H21" s="16" t="s">
        <v>606</v>
      </c>
    </row>
    <row r="22" spans="1:8" ht="41.4">
      <c r="A22" s="22" t="s">
        <v>738</v>
      </c>
      <c r="B22" s="11" t="s">
        <v>57</v>
      </c>
      <c r="C22" s="11" t="s">
        <v>739</v>
      </c>
      <c r="D22" s="11" t="s">
        <v>740</v>
      </c>
      <c r="E22" s="11" t="s">
        <v>741</v>
      </c>
      <c r="F22" s="11" t="s">
        <v>742</v>
      </c>
      <c r="G22" s="12" t="s">
        <v>664</v>
      </c>
      <c r="H22" s="16" t="s">
        <v>606</v>
      </c>
    </row>
    <row r="23" spans="1:8">
      <c r="A23" s="22"/>
      <c r="B23" s="11"/>
      <c r="C23" s="11"/>
      <c r="D23" s="11"/>
      <c r="E23" s="11"/>
      <c r="F23" s="11"/>
      <c r="G23" s="12"/>
      <c r="H23" s="16"/>
    </row>
    <row r="24" spans="1:8">
      <c r="A24" s="22"/>
      <c r="B24" s="11"/>
      <c r="C24" s="11"/>
      <c r="D24" s="11"/>
      <c r="E24" s="11"/>
      <c r="F24" s="11"/>
      <c r="G24" s="12"/>
      <c r="H24" s="16"/>
    </row>
    <row r="25" spans="1:8">
      <c r="A25" s="22"/>
      <c r="B25" s="11"/>
      <c r="C25" s="11"/>
      <c r="D25" s="11"/>
      <c r="E25" s="11"/>
      <c r="F25" s="11"/>
      <c r="G25" s="12"/>
      <c r="H25" s="16"/>
    </row>
    <row r="26" spans="1:8">
      <c r="A26" s="22"/>
      <c r="B26" s="11"/>
      <c r="C26" s="11"/>
      <c r="D26" s="11"/>
      <c r="E26" s="11"/>
      <c r="F26" s="11"/>
      <c r="G26" s="12"/>
      <c r="H26" s="16"/>
    </row>
    <row r="27" spans="1:8">
      <c r="A27" s="22"/>
      <c r="B27" s="11"/>
      <c r="C27" s="11"/>
      <c r="D27" s="11"/>
      <c r="E27" s="11"/>
      <c r="F27" s="11"/>
      <c r="G27" s="12"/>
      <c r="H27" s="16"/>
    </row>
    <row r="28" spans="1:8">
      <c r="A28" s="22"/>
      <c r="B28" s="11"/>
      <c r="C28" s="11"/>
      <c r="D28" s="11"/>
      <c r="E28" s="11"/>
      <c r="F28" s="11"/>
      <c r="G28" s="12"/>
      <c r="H28" s="16"/>
    </row>
    <row r="29" spans="1:8">
      <c r="A29" s="22"/>
      <c r="B29" s="11"/>
      <c r="C29" s="11"/>
      <c r="D29" s="11"/>
      <c r="E29" s="11"/>
      <c r="F29" s="11"/>
      <c r="G29" s="12"/>
      <c r="H29" s="16"/>
    </row>
    <row r="30" spans="1:8">
      <c r="A30" s="22"/>
      <c r="B30" s="11"/>
      <c r="C30" s="11"/>
      <c r="D30" s="11"/>
      <c r="E30" s="11"/>
      <c r="F30" s="11"/>
      <c r="G30" s="12"/>
      <c r="H30" s="16"/>
    </row>
    <row r="31" spans="1:8">
      <c r="A31" s="22"/>
      <c r="B31" s="11"/>
      <c r="C31" s="11"/>
      <c r="D31" s="11"/>
      <c r="E31" s="11"/>
      <c r="F31" s="11"/>
      <c r="G31" s="12"/>
      <c r="H31" s="16"/>
    </row>
    <row r="32" spans="1:8">
      <c r="A32" s="22"/>
      <c r="B32" s="11"/>
      <c r="C32" s="11"/>
      <c r="D32" s="11"/>
      <c r="E32" s="11"/>
      <c r="F32" s="11"/>
      <c r="G32" s="12"/>
      <c r="H32" s="16"/>
    </row>
    <row r="33" spans="1:8">
      <c r="A33" s="22"/>
      <c r="B33" s="11"/>
      <c r="C33" s="11"/>
      <c r="D33" s="11"/>
      <c r="E33" s="11"/>
      <c r="F33" s="11"/>
      <c r="G33" s="12"/>
      <c r="H33" s="16"/>
    </row>
    <row r="34" spans="1:8">
      <c r="A34" s="22"/>
      <c r="B34" s="11"/>
      <c r="C34" s="11"/>
      <c r="D34" s="11"/>
      <c r="E34" s="11"/>
      <c r="F34" s="11"/>
      <c r="G34" s="12"/>
      <c r="H34" s="16"/>
    </row>
    <row r="35" spans="1:8">
      <c r="A35" s="22"/>
      <c r="B35" s="11"/>
      <c r="C35" s="11"/>
      <c r="D35" s="11"/>
      <c r="E35" s="11"/>
      <c r="F35" s="11"/>
      <c r="G35" s="12"/>
      <c r="H35" s="16"/>
    </row>
    <row r="36" spans="1:8">
      <c r="A36" s="22"/>
      <c r="B36" s="11"/>
      <c r="C36" s="11"/>
      <c r="D36" s="11"/>
      <c r="E36" s="11"/>
      <c r="F36" s="11"/>
      <c r="G36" s="12"/>
      <c r="H36" s="16"/>
    </row>
    <row r="37" spans="1:8">
      <c r="A37" s="22"/>
      <c r="B37" s="11"/>
      <c r="C37" s="11"/>
      <c r="D37" s="11"/>
      <c r="E37" s="11"/>
      <c r="F37" s="11"/>
      <c r="G37" s="12"/>
      <c r="H37" s="16"/>
    </row>
    <row r="38" spans="1:8">
      <c r="A38" s="22"/>
      <c r="B38" s="11"/>
      <c r="C38" s="11"/>
      <c r="D38" s="11"/>
      <c r="E38" s="11"/>
      <c r="F38" s="11"/>
      <c r="G38" s="12"/>
      <c r="H38" s="16"/>
    </row>
    <row r="39" spans="1:8">
      <c r="A39" s="22"/>
      <c r="B39" s="11"/>
      <c r="C39" s="11"/>
      <c r="D39" s="11"/>
      <c r="E39" s="11"/>
      <c r="F39" s="11"/>
      <c r="G39" s="12"/>
      <c r="H39" s="16"/>
    </row>
    <row r="40" spans="1:8">
      <c r="A40" s="22"/>
      <c r="B40" s="11"/>
      <c r="C40" s="11"/>
      <c r="D40" s="11"/>
      <c r="E40" s="11"/>
      <c r="F40" s="11"/>
      <c r="G40" s="12"/>
      <c r="H40" s="16"/>
    </row>
    <row r="41" spans="1:8">
      <c r="A41" s="22"/>
      <c r="B41" s="11"/>
      <c r="C41" s="11"/>
      <c r="D41" s="11"/>
      <c r="E41" s="11"/>
      <c r="F41" s="11"/>
      <c r="G41" s="12"/>
      <c r="H41" s="16"/>
    </row>
    <row r="42" spans="1:8">
      <c r="A42" s="22"/>
      <c r="B42" s="11"/>
      <c r="C42" s="11"/>
      <c r="D42" s="11"/>
      <c r="E42" s="11"/>
      <c r="F42" s="11"/>
      <c r="G42" s="12"/>
      <c r="H42" s="16"/>
    </row>
    <row r="43" spans="1:8">
      <c r="A43" s="22"/>
      <c r="B43" s="11"/>
      <c r="C43" s="11"/>
      <c r="D43" s="11"/>
      <c r="E43" s="11"/>
      <c r="F43" s="11"/>
      <c r="G43" s="12"/>
      <c r="H43" s="16"/>
    </row>
    <row r="44" spans="1:8">
      <c r="A44" s="22"/>
      <c r="B44" s="11"/>
      <c r="C44" s="11"/>
      <c r="D44" s="11"/>
      <c r="E44" s="11"/>
      <c r="F44" s="11"/>
      <c r="G44" s="12"/>
      <c r="H44" s="16"/>
    </row>
    <row r="45" spans="1:8">
      <c r="A45" s="22"/>
      <c r="B45" s="11"/>
      <c r="C45" s="11"/>
      <c r="D45" s="11"/>
      <c r="E45" s="11"/>
      <c r="F45" s="11"/>
      <c r="G45" s="12"/>
      <c r="H45" s="16"/>
    </row>
    <row r="46" spans="1:8">
      <c r="A46" s="22"/>
      <c r="B46" s="11"/>
      <c r="C46" s="11"/>
      <c r="D46" s="11"/>
      <c r="E46" s="11"/>
      <c r="F46" s="11"/>
      <c r="G46" s="12"/>
      <c r="H46" s="16"/>
    </row>
    <row r="47" spans="1:8">
      <c r="A47" s="22"/>
      <c r="B47" s="11"/>
      <c r="C47" s="11"/>
      <c r="D47" s="11"/>
      <c r="E47" s="11"/>
      <c r="F47" s="11"/>
      <c r="G47" s="12"/>
      <c r="H47" s="16"/>
    </row>
    <row r="48" spans="1:8">
      <c r="A48" s="22"/>
      <c r="B48" s="11"/>
      <c r="C48" s="11"/>
      <c r="D48" s="11"/>
      <c r="E48" s="11"/>
      <c r="F48" s="11"/>
      <c r="G48" s="12"/>
      <c r="H48" s="16"/>
    </row>
    <row r="49" spans="1:8">
      <c r="A49" s="22"/>
      <c r="B49" s="11"/>
      <c r="C49" s="11"/>
      <c r="D49" s="11"/>
      <c r="E49" s="11"/>
      <c r="F49" s="11"/>
      <c r="G49" s="12"/>
      <c r="H49" s="16"/>
    </row>
    <row r="50" spans="1:8">
      <c r="A50" s="22"/>
      <c r="B50" s="11"/>
      <c r="C50" s="11"/>
      <c r="D50" s="11"/>
      <c r="E50" s="11"/>
      <c r="F50" s="11"/>
      <c r="G50" s="12"/>
      <c r="H50" s="16"/>
    </row>
    <row r="51" spans="1:8">
      <c r="A51" s="22"/>
      <c r="B51" s="11"/>
      <c r="C51" s="11"/>
      <c r="D51" s="11"/>
      <c r="E51" s="11"/>
      <c r="F51" s="11"/>
      <c r="G51" s="12"/>
      <c r="H51" s="16"/>
    </row>
    <row r="52" spans="1:8">
      <c r="A52" s="22"/>
      <c r="B52" s="11"/>
      <c r="C52" s="11"/>
      <c r="D52" s="11"/>
      <c r="E52" s="11"/>
      <c r="F52" s="11"/>
      <c r="G52" s="12"/>
      <c r="H52" s="16"/>
    </row>
    <row r="53" spans="1:8">
      <c r="A53" s="22"/>
      <c r="B53" s="11"/>
      <c r="C53" s="11"/>
      <c r="D53" s="11"/>
      <c r="E53" s="11"/>
      <c r="F53" s="11"/>
      <c r="G53" s="12"/>
      <c r="H53" s="16"/>
    </row>
    <row r="54" spans="1:8">
      <c r="A54" s="22"/>
      <c r="B54" s="11"/>
      <c r="C54" s="11"/>
      <c r="D54" s="11"/>
      <c r="E54" s="11"/>
      <c r="F54" s="11"/>
      <c r="G54" s="12"/>
      <c r="H54" s="16"/>
    </row>
    <row r="55" spans="1:8">
      <c r="A55" s="22"/>
      <c r="B55" s="11"/>
      <c r="C55" s="11"/>
      <c r="D55" s="11"/>
      <c r="E55" s="11"/>
      <c r="F55" s="11"/>
      <c r="G55" s="12"/>
      <c r="H55" s="16"/>
    </row>
    <row r="56" spans="1:8">
      <c r="A56" s="22"/>
      <c r="B56" s="11"/>
      <c r="C56" s="11"/>
      <c r="D56" s="11"/>
      <c r="E56" s="11"/>
      <c r="F56" s="11"/>
      <c r="G56" s="12"/>
      <c r="H56" s="16"/>
    </row>
    <row r="57" spans="1:8">
      <c r="A57" s="22"/>
      <c r="B57" s="11"/>
      <c r="C57" s="11"/>
      <c r="D57" s="11"/>
      <c r="E57" s="11"/>
      <c r="F57" s="11"/>
      <c r="G57" s="12"/>
      <c r="H57" s="16"/>
    </row>
    <row r="58" spans="1:8">
      <c r="A58" s="22"/>
      <c r="B58" s="11"/>
      <c r="C58" s="11"/>
      <c r="D58" s="11"/>
      <c r="E58" s="11"/>
      <c r="F58" s="11"/>
      <c r="G58" s="12"/>
      <c r="H58" s="16"/>
    </row>
    <row r="59" spans="1:8">
      <c r="A59" s="22"/>
      <c r="B59" s="11"/>
      <c r="C59" s="11"/>
      <c r="D59" s="11"/>
      <c r="E59" s="11"/>
      <c r="F59" s="11"/>
      <c r="G59" s="12"/>
      <c r="H59" s="16"/>
    </row>
    <row r="60" spans="1:8">
      <c r="A60" s="22"/>
      <c r="B60" s="11"/>
      <c r="C60" s="11"/>
      <c r="D60" s="11"/>
      <c r="E60" s="11"/>
      <c r="F60" s="11"/>
      <c r="G60" s="12"/>
      <c r="H60" s="16"/>
    </row>
    <row r="61" spans="1:8">
      <c r="A61" s="22"/>
      <c r="B61" s="11"/>
      <c r="C61" s="11"/>
      <c r="D61" s="11"/>
      <c r="E61" s="11"/>
      <c r="F61" s="11"/>
      <c r="G61" s="12"/>
      <c r="H61" s="16"/>
    </row>
    <row r="62" spans="1:8">
      <c r="A62" s="22"/>
      <c r="B62" s="11"/>
      <c r="C62" s="11"/>
      <c r="D62" s="11"/>
      <c r="E62" s="11"/>
      <c r="F62" s="11"/>
      <c r="G62" s="12"/>
      <c r="H62" s="16"/>
    </row>
    <row r="63" spans="1:8">
      <c r="A63" s="22"/>
      <c r="B63" s="11"/>
      <c r="C63" s="11"/>
      <c r="D63" s="11"/>
      <c r="E63" s="11"/>
      <c r="F63" s="11"/>
      <c r="G63" s="12"/>
      <c r="H63" s="16"/>
    </row>
    <row r="64" spans="1:8">
      <c r="A64" s="22"/>
      <c r="B64" s="11"/>
      <c r="C64" s="11"/>
      <c r="D64" s="11"/>
      <c r="E64" s="11"/>
      <c r="F64" s="11"/>
      <c r="G64" s="12"/>
      <c r="H64" s="16"/>
    </row>
    <row r="65" spans="1:8">
      <c r="A65" s="22"/>
      <c r="B65" s="11"/>
      <c r="C65" s="11"/>
      <c r="D65" s="11"/>
      <c r="E65" s="11"/>
      <c r="F65" s="11"/>
      <c r="G65" s="12"/>
      <c r="H65" s="16"/>
    </row>
    <row r="66" spans="1:8">
      <c r="A66" s="22"/>
      <c r="B66" s="11"/>
      <c r="C66" s="11"/>
      <c r="D66" s="11"/>
      <c r="E66" s="11"/>
      <c r="F66" s="11"/>
      <c r="G66" s="12"/>
      <c r="H66" s="16"/>
    </row>
    <row r="67" spans="1:8">
      <c r="A67" s="22"/>
      <c r="B67" s="11"/>
      <c r="C67" s="11"/>
      <c r="D67" s="11"/>
      <c r="E67" s="11"/>
      <c r="F67" s="11"/>
      <c r="G67" s="12"/>
      <c r="H67" s="16"/>
    </row>
    <row r="68" spans="1:8">
      <c r="A68" s="22"/>
      <c r="B68" s="11"/>
      <c r="C68" s="11"/>
      <c r="D68" s="11"/>
      <c r="E68" s="11"/>
      <c r="F68" s="11"/>
      <c r="G68" s="12"/>
      <c r="H68" s="16"/>
    </row>
    <row r="69" spans="1:8">
      <c r="A69" s="22"/>
      <c r="B69" s="11"/>
      <c r="C69" s="11"/>
      <c r="D69" s="11"/>
      <c r="E69" s="11"/>
      <c r="F69" s="11"/>
      <c r="G69" s="12"/>
      <c r="H69" s="16"/>
    </row>
    <row r="70" spans="1:8">
      <c r="A70" s="22"/>
      <c r="B70" s="11"/>
      <c r="C70" s="11"/>
      <c r="D70" s="11"/>
      <c r="E70" s="11"/>
      <c r="F70" s="11"/>
      <c r="G70" s="12"/>
      <c r="H70" s="16"/>
    </row>
    <row r="71" spans="1:8">
      <c r="A71" s="22"/>
      <c r="B71" s="11"/>
      <c r="C71" s="11"/>
      <c r="D71" s="11"/>
      <c r="E71" s="11"/>
      <c r="F71" s="11"/>
      <c r="G71" s="12"/>
      <c r="H71" s="16"/>
    </row>
    <row r="72" spans="1:8">
      <c r="A72" s="22"/>
      <c r="B72" s="11"/>
      <c r="C72" s="11"/>
      <c r="D72" s="11"/>
      <c r="E72" s="11"/>
      <c r="F72" s="11"/>
      <c r="G72" s="12"/>
      <c r="H72" s="16"/>
    </row>
    <row r="73" spans="1:8">
      <c r="A73" s="22"/>
      <c r="B73" s="11"/>
      <c r="C73" s="11"/>
      <c r="D73" s="11"/>
      <c r="E73" s="11"/>
      <c r="F73" s="11"/>
      <c r="G73" s="12"/>
      <c r="H73" s="16"/>
    </row>
    <row r="74" spans="1:8">
      <c r="A74" s="22"/>
      <c r="B74" s="11"/>
      <c r="C74" s="11"/>
      <c r="D74" s="11"/>
      <c r="E74" s="11"/>
      <c r="F74" s="11"/>
      <c r="G74" s="12"/>
      <c r="H74" s="16"/>
    </row>
    <row r="75" spans="1:8">
      <c r="A75" s="22"/>
      <c r="B75" s="11"/>
      <c r="C75" s="11"/>
      <c r="D75" s="11"/>
      <c r="E75" s="11"/>
      <c r="F75" s="11"/>
      <c r="G75" s="12"/>
      <c r="H75" s="16"/>
    </row>
    <row r="76" spans="1:8">
      <c r="A76" s="22"/>
      <c r="B76" s="11"/>
      <c r="C76" s="11"/>
      <c r="D76" s="11"/>
      <c r="E76" s="11"/>
      <c r="F76" s="11"/>
      <c r="G76" s="12"/>
      <c r="H76" s="16"/>
    </row>
    <row r="77" spans="1:8">
      <c r="A77" s="22"/>
      <c r="B77" s="11"/>
      <c r="C77" s="11"/>
      <c r="D77" s="11"/>
      <c r="E77" s="11"/>
      <c r="F77" s="11"/>
      <c r="G77" s="12"/>
      <c r="H77" s="16"/>
    </row>
    <row r="78" spans="1:8">
      <c r="A78" s="22"/>
      <c r="B78" s="11"/>
      <c r="C78" s="11"/>
      <c r="D78" s="11"/>
      <c r="E78" s="11"/>
      <c r="F78" s="11"/>
      <c r="G78" s="12"/>
      <c r="H78" s="16"/>
    </row>
    <row r="79" spans="1:8">
      <c r="A79" s="22"/>
      <c r="B79" s="11"/>
      <c r="C79" s="11"/>
      <c r="D79" s="11"/>
      <c r="E79" s="11"/>
      <c r="F79" s="11"/>
      <c r="G79" s="12"/>
      <c r="H79" s="16"/>
    </row>
    <row r="80" spans="1:8">
      <c r="A80" s="22"/>
      <c r="B80" s="11"/>
      <c r="C80" s="11"/>
      <c r="D80" s="11"/>
      <c r="E80" s="11"/>
      <c r="F80" s="11"/>
      <c r="G80" s="12"/>
      <c r="H80" s="16"/>
    </row>
    <row r="81" spans="1:8">
      <c r="A81" s="22"/>
      <c r="B81" s="11"/>
      <c r="C81" s="11"/>
      <c r="D81" s="11"/>
      <c r="E81" s="11"/>
      <c r="F81" s="11"/>
      <c r="G81" s="12"/>
      <c r="H81" s="16"/>
    </row>
    <row r="82" spans="1:8">
      <c r="A82" s="22"/>
      <c r="B82" s="11"/>
      <c r="C82" s="11"/>
      <c r="D82" s="11"/>
      <c r="E82" s="11"/>
      <c r="F82" s="11"/>
      <c r="G82" s="12"/>
      <c r="H82" s="16"/>
    </row>
    <row r="83" spans="1:8">
      <c r="A83" s="22"/>
      <c r="B83" s="11"/>
      <c r="C83" s="11"/>
      <c r="D83" s="11"/>
      <c r="E83" s="11"/>
      <c r="F83" s="11"/>
      <c r="G83" s="12"/>
      <c r="H83" s="16"/>
    </row>
    <row r="84" spans="1:8">
      <c r="A84" s="22"/>
      <c r="B84" s="11"/>
      <c r="C84" s="11"/>
      <c r="D84" s="11"/>
      <c r="E84" s="11"/>
      <c r="F84" s="11"/>
      <c r="G84" s="12"/>
      <c r="H84" s="16"/>
    </row>
    <row r="85" spans="1:8">
      <c r="A85" s="22"/>
      <c r="B85" s="11"/>
      <c r="C85" s="11"/>
      <c r="D85" s="11"/>
      <c r="E85" s="11"/>
      <c r="F85" s="11"/>
      <c r="G85" s="12"/>
      <c r="H85" s="16"/>
    </row>
    <row r="86" spans="1:8">
      <c r="A86" s="22"/>
      <c r="B86" s="11"/>
      <c r="C86" s="11"/>
      <c r="D86" s="11"/>
      <c r="E86" s="11"/>
      <c r="F86" s="11"/>
      <c r="G86" s="12"/>
      <c r="H86" s="16"/>
    </row>
    <row r="87" spans="1:8">
      <c r="A87" s="22"/>
      <c r="B87" s="11"/>
      <c r="C87" s="11"/>
      <c r="D87" s="11"/>
      <c r="E87" s="11"/>
      <c r="F87" s="11"/>
      <c r="G87" s="12"/>
      <c r="H87" s="16"/>
    </row>
    <row r="88" spans="1:8">
      <c r="A88" s="22"/>
      <c r="B88" s="11"/>
      <c r="C88" s="11"/>
      <c r="D88" s="11"/>
      <c r="E88" s="11"/>
      <c r="F88" s="11"/>
      <c r="G88" s="12"/>
      <c r="H88" s="16"/>
    </row>
    <row r="89" spans="1:8">
      <c r="A89" s="22"/>
      <c r="B89" s="11"/>
      <c r="C89" s="11"/>
      <c r="D89" s="11"/>
      <c r="E89" s="11"/>
      <c r="F89" s="11"/>
      <c r="G89" s="12"/>
      <c r="H89" s="16"/>
    </row>
    <row r="90" spans="1:8">
      <c r="A90" s="22"/>
      <c r="B90" s="11"/>
      <c r="C90" s="11"/>
      <c r="D90" s="11"/>
      <c r="E90" s="11"/>
      <c r="F90" s="11"/>
      <c r="G90" s="12"/>
      <c r="H90" s="16"/>
    </row>
    <row r="91" spans="1:8">
      <c r="A91" s="23"/>
      <c r="B91" s="17"/>
      <c r="C91" s="17"/>
      <c r="D91" s="17"/>
      <c r="E91" s="17"/>
      <c r="F91" s="17"/>
      <c r="G91" s="18"/>
      <c r="H91" s="20"/>
    </row>
  </sheetData>
  <mergeCells count="1">
    <mergeCell ref="A1:H1"/>
  </mergeCells>
  <conditionalFormatting sqref="H3:H91">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12 B18:B91" xr:uid="{00000000-0002-0000-0500-000000000000}">
      <formula1>"Unit 1 / Phase 1,Phase 2,Phase 3,Final"</formula1>
    </dataValidation>
    <dataValidation type="list" sqref="H3:H91" xr:uid="{00000000-0002-0000-0500-000001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topLeftCell="A10" workbookViewId="0">
      <selection activeCell="H12" sqref="H12"/>
    </sheetView>
  </sheetViews>
  <sheetFormatPr defaultRowHeight="13.8"/>
  <cols>
    <col min="1" max="1" width="34" customWidth="1"/>
    <col min="2" max="2" width="58" customWidth="1"/>
    <col min="3" max="3" width="3" customWidth="1"/>
    <col min="4" max="4" width="40" customWidth="1"/>
    <col min="5" max="5" width="12" customWidth="1"/>
    <col min="6" max="6" width="3" customWidth="1"/>
  </cols>
  <sheetData>
    <row r="1" spans="1:6" ht="16.05" customHeight="1">
      <c r="A1" s="43" t="s">
        <v>669</v>
      </c>
      <c r="B1" s="43"/>
      <c r="C1" s="43"/>
      <c r="D1" s="43"/>
      <c r="E1" s="43"/>
      <c r="F1" s="43"/>
    </row>
    <row r="3" spans="1:6">
      <c r="A3" s="1" t="s">
        <v>670</v>
      </c>
      <c r="B3" s="2" t="s">
        <v>42</v>
      </c>
      <c r="D3" s="48" t="s">
        <v>671</v>
      </c>
      <c r="E3" s="49"/>
      <c r="F3" s="50"/>
    </row>
    <row r="4" spans="1:6">
      <c r="A4" s="3" t="s">
        <v>56</v>
      </c>
      <c r="B4" s="42" t="s">
        <v>57</v>
      </c>
      <c r="D4" s="3" t="s">
        <v>672</v>
      </c>
      <c r="E4" s="24" t="s">
        <v>93</v>
      </c>
    </row>
    <row r="5" spans="1:6">
      <c r="A5" s="3" t="s">
        <v>59</v>
      </c>
      <c r="B5" s="42" t="s">
        <v>673</v>
      </c>
      <c r="D5" s="3" t="s">
        <v>674</v>
      </c>
      <c r="E5" s="24" t="s">
        <v>93</v>
      </c>
    </row>
    <row r="6" spans="1:6" ht="27.6">
      <c r="A6" s="3" t="s">
        <v>675</v>
      </c>
      <c r="B6" s="7" t="s">
        <v>743</v>
      </c>
      <c r="D6" s="3" t="s">
        <v>676</v>
      </c>
      <c r="E6" s="24" t="s">
        <v>93</v>
      </c>
    </row>
    <row r="7" spans="1:6" ht="31.95" customHeight="1">
      <c r="A7" s="3" t="s">
        <v>677</v>
      </c>
      <c r="B7" s="42" t="s">
        <v>744</v>
      </c>
      <c r="D7" s="3" t="s">
        <v>678</v>
      </c>
      <c r="E7" s="24" t="s">
        <v>93</v>
      </c>
    </row>
    <row r="8" spans="1:6" ht="31.95" customHeight="1">
      <c r="A8" s="3" t="s">
        <v>679</v>
      </c>
      <c r="B8" s="42" t="s">
        <v>745</v>
      </c>
      <c r="D8" s="3" t="s">
        <v>680</v>
      </c>
      <c r="E8" s="24" t="s">
        <v>93</v>
      </c>
    </row>
    <row r="9" spans="1:6" ht="31.95" customHeight="1">
      <c r="A9" s="3" t="s">
        <v>681</v>
      </c>
      <c r="B9" s="42" t="s">
        <v>746</v>
      </c>
      <c r="D9" s="3" t="s">
        <v>682</v>
      </c>
      <c r="E9" s="24" t="s">
        <v>93</v>
      </c>
    </row>
    <row r="10" spans="1:6" ht="31.95" customHeight="1">
      <c r="A10" s="3" t="s">
        <v>683</v>
      </c>
      <c r="B10" s="42" t="s">
        <v>747</v>
      </c>
      <c r="D10" s="3" t="s">
        <v>684</v>
      </c>
      <c r="E10" s="24" t="s">
        <v>93</v>
      </c>
    </row>
    <row r="11" spans="1:6" ht="31.95" customHeight="1">
      <c r="A11" s="3" t="s">
        <v>685</v>
      </c>
      <c r="B11" s="7" t="s">
        <v>748</v>
      </c>
      <c r="D11" s="3" t="s">
        <v>686</v>
      </c>
      <c r="E11" s="24" t="s">
        <v>93</v>
      </c>
    </row>
    <row r="12" spans="1:6" ht="31.95" customHeight="1">
      <c r="A12" s="3" t="s">
        <v>687</v>
      </c>
      <c r="B12" s="42" t="s">
        <v>749</v>
      </c>
      <c r="D12" s="5" t="s">
        <v>688</v>
      </c>
      <c r="E12" s="24" t="s">
        <v>93</v>
      </c>
    </row>
    <row r="13" spans="1:6" ht="31.95" customHeight="1">
      <c r="A13" s="5" t="s">
        <v>689</v>
      </c>
      <c r="B13" s="42" t="s">
        <v>750</v>
      </c>
      <c r="E13" s="24" t="s">
        <v>93</v>
      </c>
    </row>
  </sheetData>
  <mergeCells count="2">
    <mergeCell ref="A1:F1"/>
    <mergeCell ref="D3:F3"/>
  </mergeCells>
  <conditionalFormatting sqref="E4:E13">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3"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zoomScale="80" workbookViewId="0">
      <selection activeCell="E9" sqref="E9"/>
    </sheetView>
  </sheetViews>
  <sheetFormatPr defaultRowHeight="13.8"/>
  <cols>
    <col min="1" max="1" width="38" customWidth="1"/>
    <col min="2" max="2" width="62" customWidth="1"/>
    <col min="3" max="3" width="3" customWidth="1"/>
    <col min="4" max="4" width="20" customWidth="1"/>
    <col min="5" max="5" width="48" customWidth="1"/>
    <col min="6" max="6" width="3" customWidth="1"/>
  </cols>
  <sheetData>
    <row r="1" spans="1:6" ht="16.05" customHeight="1">
      <c r="A1" s="43" t="s">
        <v>29</v>
      </c>
      <c r="B1" s="43"/>
      <c r="C1" s="43"/>
      <c r="D1" s="43"/>
      <c r="E1" s="43"/>
      <c r="F1" s="43"/>
    </row>
    <row r="3" spans="1:6">
      <c r="A3" s="1" t="s">
        <v>690</v>
      </c>
      <c r="B3" s="2" t="s">
        <v>42</v>
      </c>
      <c r="D3" s="48" t="s">
        <v>691</v>
      </c>
      <c r="E3" s="49"/>
      <c r="F3" s="50"/>
    </row>
    <row r="4" spans="1:6" ht="22.35" customHeight="1">
      <c r="A4" s="3" t="s">
        <v>56</v>
      </c>
      <c r="B4" s="42" t="s">
        <v>57</v>
      </c>
      <c r="D4" s="3" t="s">
        <v>692</v>
      </c>
      <c r="E4" s="4" t="s">
        <v>693</v>
      </c>
    </row>
    <row r="5" spans="1:6" ht="22.35" customHeight="1">
      <c r="A5" s="3" t="s">
        <v>48</v>
      </c>
      <c r="B5" s="7" t="s">
        <v>49</v>
      </c>
      <c r="D5" s="3" t="s">
        <v>694</v>
      </c>
      <c r="E5" s="4" t="s">
        <v>695</v>
      </c>
    </row>
    <row r="6" spans="1:6" ht="22.35" customHeight="1">
      <c r="A6" s="3" t="s">
        <v>696</v>
      </c>
      <c r="B6" s="42" t="s">
        <v>697</v>
      </c>
      <c r="D6" s="3" t="s">
        <v>698</v>
      </c>
      <c r="E6" s="4" t="s">
        <v>699</v>
      </c>
    </row>
    <row r="7" spans="1:6" ht="22.35" customHeight="1">
      <c r="A7" s="3" t="s">
        <v>700</v>
      </c>
      <c r="B7" s="42" t="s">
        <v>701</v>
      </c>
      <c r="D7" s="3" t="s">
        <v>702</v>
      </c>
      <c r="E7" s="4" t="s">
        <v>703</v>
      </c>
    </row>
    <row r="8" spans="1:6" ht="22.35" customHeight="1">
      <c r="A8" s="3" t="s">
        <v>704</v>
      </c>
      <c r="B8" s="7" t="s">
        <v>751</v>
      </c>
      <c r="D8" s="5" t="s">
        <v>705</v>
      </c>
      <c r="E8" s="6" t="s">
        <v>706</v>
      </c>
    </row>
    <row r="9" spans="1:6" ht="39.450000000000003" customHeight="1">
      <c r="A9" s="3" t="s">
        <v>707</v>
      </c>
      <c r="B9" s="7" t="s">
        <v>752</v>
      </c>
    </row>
    <row r="10" spans="1:6" ht="39.450000000000003" customHeight="1">
      <c r="A10" s="3" t="s">
        <v>708</v>
      </c>
      <c r="B10" s="7" t="s">
        <v>753</v>
      </c>
    </row>
    <row r="11" spans="1:6" ht="39.450000000000003" customHeight="1">
      <c r="A11" s="3" t="s">
        <v>709</v>
      </c>
      <c r="B11" s="7" t="s">
        <v>754</v>
      </c>
    </row>
    <row r="12" spans="1:6" ht="39.450000000000003" customHeight="1">
      <c r="A12" s="3" t="s">
        <v>710</v>
      </c>
      <c r="B12" s="7" t="s">
        <v>711</v>
      </c>
    </row>
    <row r="13" spans="1:6" ht="39.450000000000003" customHeight="1">
      <c r="A13" s="3" t="s">
        <v>712</v>
      </c>
      <c r="B13" s="42" t="s">
        <v>755</v>
      </c>
    </row>
    <row r="14" spans="1:6" ht="39.450000000000003" customHeight="1">
      <c r="A14" s="3" t="s">
        <v>713</v>
      </c>
      <c r="B14" s="42" t="s">
        <v>756</v>
      </c>
    </row>
    <row r="15" spans="1:6" ht="39.450000000000003" customHeight="1">
      <c r="A15" s="5" t="s">
        <v>714</v>
      </c>
      <c r="B15" s="42" t="s">
        <v>757</v>
      </c>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Goitseone Kgwele</cp:lastModifiedBy>
  <dcterms:modified xsi:type="dcterms:W3CDTF">2026-10-25T00:58:45Z</dcterms:modified>
</cp:coreProperties>
</file>